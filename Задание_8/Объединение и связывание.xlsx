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onDI\projects\excel\volsu-emm\Задание_8\"/>
    </mc:Choice>
  </mc:AlternateContent>
  <xr:revisionPtr revIDLastSave="0" documentId="13_ncr:1_{66DB7E79-1630-4FA6-8FBD-E934CDE079FE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Январь" sheetId="1" r:id="rId1"/>
    <sheet name="Февраль" sheetId="7" r:id="rId2"/>
    <sheet name="Март" sheetId="8" r:id="rId3"/>
    <sheet name="Итог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0" l="1"/>
  <c r="C4" i="10"/>
  <c r="B5" i="10"/>
  <c r="C5" i="10"/>
  <c r="B6" i="10"/>
  <c r="B7" i="10" s="1"/>
  <c r="C6" i="10"/>
  <c r="C7" i="10" s="1"/>
  <c r="B8" i="10"/>
  <c r="C8" i="10"/>
  <c r="B9" i="10"/>
  <c r="B11" i="10" s="1"/>
  <c r="C9" i="10"/>
  <c r="C11" i="10" s="1"/>
  <c r="B10" i="10"/>
  <c r="C10" i="10"/>
  <c r="B12" i="10"/>
  <c r="B15" i="10" s="1"/>
  <c r="C12" i="10"/>
  <c r="B13" i="10"/>
  <c r="C13" i="10"/>
  <c r="B14" i="10"/>
  <c r="C14" i="10"/>
  <c r="C15" i="10"/>
  <c r="B16" i="10"/>
  <c r="C16" i="10"/>
  <c r="B17" i="10"/>
  <c r="C17" i="10"/>
  <c r="B18" i="10"/>
  <c r="B19" i="10" s="1"/>
  <c r="C18" i="10"/>
  <c r="C19" i="10" s="1"/>
  <c r="B20" i="10"/>
  <c r="C20" i="10"/>
  <c r="C23" i="10" s="1"/>
  <c r="B21" i="10"/>
  <c r="B23" i="10" s="1"/>
  <c r="C21" i="10"/>
  <c r="B22" i="10"/>
  <c r="C22" i="10"/>
  <c r="J9" i="8"/>
  <c r="I9" i="8"/>
  <c r="L9" i="8" s="1"/>
  <c r="J8" i="8"/>
  <c r="I8" i="8"/>
  <c r="L8" i="8" s="1"/>
  <c r="J7" i="8"/>
  <c r="I7" i="8"/>
  <c r="L7" i="8" s="1"/>
  <c r="J6" i="8"/>
  <c r="I6" i="8"/>
  <c r="L6" i="8" s="1"/>
  <c r="J5" i="8"/>
  <c r="I5" i="8"/>
  <c r="L5" i="8" s="1"/>
  <c r="J9" i="7"/>
  <c r="I9" i="7"/>
  <c r="L9" i="7" s="1"/>
  <c r="J8" i="7"/>
  <c r="I8" i="7"/>
  <c r="L8" i="7" s="1"/>
  <c r="J7" i="7"/>
  <c r="I7" i="7"/>
  <c r="L7" i="7" s="1"/>
  <c r="J6" i="7"/>
  <c r="I6" i="7"/>
  <c r="L6" i="7" s="1"/>
  <c r="J5" i="7"/>
  <c r="I5" i="7"/>
  <c r="L5" i="7" s="1"/>
  <c r="J6" i="1"/>
  <c r="J7" i="1"/>
  <c r="J8" i="1"/>
  <c r="J9" i="1"/>
  <c r="I6" i="1"/>
  <c r="I7" i="1"/>
  <c r="I8" i="1"/>
  <c r="I9" i="1"/>
  <c r="J5" i="1"/>
  <c r="I5" i="1"/>
  <c r="L6" i="1" l="1"/>
  <c r="L7" i="1"/>
  <c r="L8" i="1"/>
  <c r="L9" i="1"/>
  <c r="L5" i="1"/>
</calcChain>
</file>

<file path=xl/sharedStrings.xml><?xml version="1.0" encoding="utf-8"?>
<sst xmlns="http://schemas.openxmlformats.org/spreadsheetml/2006/main" count="60" uniqueCount="21">
  <si>
    <t>Наименование
товара</t>
  </si>
  <si>
    <t>Цена за у.е</t>
  </si>
  <si>
    <t>Нал</t>
  </si>
  <si>
    <t>Безнал</t>
  </si>
  <si>
    <t>Предложение (шт)</t>
  </si>
  <si>
    <t>Продажа</t>
  </si>
  <si>
    <t>Выручка от продаж
у.е</t>
  </si>
  <si>
    <t>Остаток
на складе</t>
  </si>
  <si>
    <t>Всего</t>
  </si>
  <si>
    <t>Телевизор</t>
  </si>
  <si>
    <t>Кофеварка</t>
  </si>
  <si>
    <t>Музыкальный
 центр</t>
  </si>
  <si>
    <t>Видеокамера</t>
  </si>
  <si>
    <t>Фотоаппарат</t>
  </si>
  <si>
    <t>Нал.</t>
  </si>
  <si>
    <t>Безнал.</t>
  </si>
  <si>
    <t>Анализ продаж торговой фирмы "ИП Савкин"</t>
  </si>
  <si>
    <t>Сводные показатели за I квартал</t>
  </si>
  <si>
    <t>Наименование товара</t>
  </si>
  <si>
    <t>Продано (шт.)</t>
  </si>
  <si>
    <t xml:space="preserve"> Выручка за I квартал, у.е.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</si>
</sst>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0"/>
  <sheetViews>
    <sheetView workbookViewId="0">
      <selection activeCell="A5" sqref="A5:B9"/>
    </sheetView>
  </sheetViews>
  <sheetFormatPr defaultRowHeight="15" x14ac:dyDescent="0.25"/>
  <cols>
    <col min="3" max="3" width="4.42578125" bestFit="1" customWidth="1"/>
    <col min="4" max="4" width="7.42578125" bestFit="1" customWidth="1"/>
    <col min="7" max="7" width="5" bestFit="1" customWidth="1"/>
    <col min="8" max="8" width="8" bestFit="1" customWidth="1"/>
    <col min="9" max="9" width="6" bestFit="1" customWidth="1"/>
    <col min="12" max="12" width="8.140625" bestFit="1" customWidth="1"/>
  </cols>
  <sheetData>
    <row r="2" spans="1:12" x14ac:dyDescent="0.25">
      <c r="A2" s="4" t="s">
        <v>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22.5" customHeight="1" x14ac:dyDescent="0.25">
      <c r="A3" s="12" t="s">
        <v>0</v>
      </c>
      <c r="B3" s="12"/>
      <c r="C3" s="5" t="s">
        <v>1</v>
      </c>
      <c r="D3" s="5"/>
      <c r="E3" s="5" t="s">
        <v>4</v>
      </c>
      <c r="F3" s="5"/>
      <c r="G3" s="5" t="s">
        <v>5</v>
      </c>
      <c r="H3" s="5"/>
      <c r="I3" s="5"/>
      <c r="J3" s="12" t="s">
        <v>6</v>
      </c>
      <c r="K3" s="5"/>
      <c r="L3" s="12" t="s">
        <v>7</v>
      </c>
    </row>
    <row r="4" spans="1:12" ht="22.5" customHeight="1" x14ac:dyDescent="0.25">
      <c r="A4" s="12"/>
      <c r="B4" s="12"/>
      <c r="C4" s="13" t="s">
        <v>2</v>
      </c>
      <c r="D4" s="13" t="s">
        <v>3</v>
      </c>
      <c r="E4" s="5"/>
      <c r="F4" s="5"/>
      <c r="G4" s="13" t="s">
        <v>14</v>
      </c>
      <c r="H4" s="13" t="s">
        <v>15</v>
      </c>
      <c r="I4" s="13" t="s">
        <v>8</v>
      </c>
      <c r="J4" s="5"/>
      <c r="K4" s="5"/>
      <c r="L4" s="5"/>
    </row>
    <row r="5" spans="1:12" x14ac:dyDescent="0.25">
      <c r="A5" s="6" t="s">
        <v>9</v>
      </c>
      <c r="B5" s="6"/>
      <c r="C5" s="1">
        <v>300</v>
      </c>
      <c r="D5" s="1">
        <v>310</v>
      </c>
      <c r="E5" s="8">
        <v>20</v>
      </c>
      <c r="F5" s="9"/>
      <c r="G5" s="1">
        <v>5</v>
      </c>
      <c r="H5" s="1">
        <v>10</v>
      </c>
      <c r="I5" s="2">
        <f>G5+H5</f>
        <v>15</v>
      </c>
      <c r="J5" s="10">
        <f>C5*G5+D5*H5</f>
        <v>4600</v>
      </c>
      <c r="K5" s="11"/>
      <c r="L5" s="1">
        <f>E5-I5</f>
        <v>5</v>
      </c>
    </row>
    <row r="6" spans="1:12" x14ac:dyDescent="0.25">
      <c r="A6" s="6" t="s">
        <v>10</v>
      </c>
      <c r="B6" s="6"/>
      <c r="C6" s="1">
        <v>200</v>
      </c>
      <c r="D6" s="1">
        <v>205</v>
      </c>
      <c r="E6" s="8">
        <v>25</v>
      </c>
      <c r="F6" s="9"/>
      <c r="G6" s="1">
        <v>5</v>
      </c>
      <c r="H6" s="1">
        <v>7</v>
      </c>
      <c r="I6" s="2">
        <f t="shared" ref="I6:I9" si="0">G6+H6</f>
        <v>12</v>
      </c>
      <c r="J6" s="10">
        <f t="shared" ref="J6:J9" si="1">C6*G6+D6*H6</f>
        <v>2435</v>
      </c>
      <c r="K6" s="11"/>
      <c r="L6" s="1">
        <f t="shared" ref="L6:L9" si="2">E6-I6</f>
        <v>13</v>
      </c>
    </row>
    <row r="7" spans="1:12" ht="30" customHeight="1" x14ac:dyDescent="0.25">
      <c r="A7" s="7" t="s">
        <v>11</v>
      </c>
      <c r="B7" s="6"/>
      <c r="C7" s="1">
        <v>275</v>
      </c>
      <c r="D7" s="1">
        <v>280</v>
      </c>
      <c r="E7" s="8">
        <v>30</v>
      </c>
      <c r="F7" s="9"/>
      <c r="G7" s="1">
        <v>9</v>
      </c>
      <c r="H7" s="1">
        <v>7</v>
      </c>
      <c r="I7" s="2">
        <f t="shared" si="0"/>
        <v>16</v>
      </c>
      <c r="J7" s="10">
        <f t="shared" si="1"/>
        <v>4435</v>
      </c>
      <c r="K7" s="11"/>
      <c r="L7" s="1">
        <f t="shared" si="2"/>
        <v>14</v>
      </c>
    </row>
    <row r="8" spans="1:12" x14ac:dyDescent="0.25">
      <c r="A8" s="6" t="s">
        <v>12</v>
      </c>
      <c r="B8" s="6"/>
      <c r="C8" s="1">
        <v>415</v>
      </c>
      <c r="D8" s="1">
        <v>430</v>
      </c>
      <c r="E8" s="8">
        <v>10</v>
      </c>
      <c r="F8" s="9"/>
      <c r="G8" s="1">
        <v>2</v>
      </c>
      <c r="H8" s="1">
        <v>8</v>
      </c>
      <c r="I8" s="2">
        <f t="shared" si="0"/>
        <v>10</v>
      </c>
      <c r="J8" s="10">
        <f t="shared" si="1"/>
        <v>4270</v>
      </c>
      <c r="K8" s="11"/>
      <c r="L8" s="1">
        <f t="shared" si="2"/>
        <v>0</v>
      </c>
    </row>
    <row r="9" spans="1:12" x14ac:dyDescent="0.25">
      <c r="A9" s="6" t="s">
        <v>13</v>
      </c>
      <c r="B9" s="6"/>
      <c r="C9" s="1">
        <v>50</v>
      </c>
      <c r="D9" s="1">
        <v>51</v>
      </c>
      <c r="E9" s="8">
        <v>100</v>
      </c>
      <c r="F9" s="9"/>
      <c r="G9" s="1">
        <v>57</v>
      </c>
      <c r="H9" s="1">
        <v>34</v>
      </c>
      <c r="I9" s="2">
        <f t="shared" si="0"/>
        <v>91</v>
      </c>
      <c r="J9" s="10">
        <f t="shared" si="1"/>
        <v>4584</v>
      </c>
      <c r="K9" s="11"/>
      <c r="L9" s="1">
        <f t="shared" si="2"/>
        <v>9</v>
      </c>
    </row>
    <row r="10" spans="1:12" x14ac:dyDescent="0.25">
      <c r="A10" s="3"/>
      <c r="B10" s="3"/>
    </row>
  </sheetData>
  <mergeCells count="23">
    <mergeCell ref="E8:F8"/>
    <mergeCell ref="E9:F9"/>
    <mergeCell ref="J5:K5"/>
    <mergeCell ref="J6:K6"/>
    <mergeCell ref="J7:K7"/>
    <mergeCell ref="J8:K8"/>
    <mergeCell ref="J9:K9"/>
    <mergeCell ref="A10:B10"/>
    <mergeCell ref="A2:L2"/>
    <mergeCell ref="A3:B4"/>
    <mergeCell ref="C3:D3"/>
    <mergeCell ref="E3:F4"/>
    <mergeCell ref="G3:I3"/>
    <mergeCell ref="J3:K4"/>
    <mergeCell ref="L3:L4"/>
    <mergeCell ref="A5:B5"/>
    <mergeCell ref="A6:B6"/>
    <mergeCell ref="A7:B7"/>
    <mergeCell ref="A8:B8"/>
    <mergeCell ref="A9:B9"/>
    <mergeCell ref="E5:F5"/>
    <mergeCell ref="E6:F6"/>
    <mergeCell ref="E7:F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FE6F-2137-486F-A2BE-F6D0B3D24824}">
  <dimension ref="A2:L10"/>
  <sheetViews>
    <sheetView workbookViewId="0">
      <selection activeCell="H13" sqref="H13"/>
    </sheetView>
  </sheetViews>
  <sheetFormatPr defaultRowHeight="15" x14ac:dyDescent="0.25"/>
  <cols>
    <col min="3" max="3" width="4.42578125" bestFit="1" customWidth="1"/>
    <col min="4" max="4" width="7.42578125" bestFit="1" customWidth="1"/>
    <col min="7" max="7" width="5" bestFit="1" customWidth="1"/>
    <col min="8" max="8" width="8" bestFit="1" customWidth="1"/>
    <col min="9" max="9" width="6" bestFit="1" customWidth="1"/>
    <col min="12" max="12" width="8.140625" bestFit="1" customWidth="1"/>
  </cols>
  <sheetData>
    <row r="2" spans="1:12" x14ac:dyDescent="0.25">
      <c r="A2" s="4" t="s">
        <v>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22.5" customHeight="1" x14ac:dyDescent="0.25">
      <c r="A3" s="12" t="s">
        <v>0</v>
      </c>
      <c r="B3" s="12"/>
      <c r="C3" s="5" t="s">
        <v>1</v>
      </c>
      <c r="D3" s="5"/>
      <c r="E3" s="5" t="s">
        <v>4</v>
      </c>
      <c r="F3" s="5"/>
      <c r="G3" s="5" t="s">
        <v>5</v>
      </c>
      <c r="H3" s="5"/>
      <c r="I3" s="5"/>
      <c r="J3" s="12" t="s">
        <v>6</v>
      </c>
      <c r="K3" s="5"/>
      <c r="L3" s="12" t="s">
        <v>7</v>
      </c>
    </row>
    <row r="4" spans="1:12" ht="22.5" customHeight="1" x14ac:dyDescent="0.25">
      <c r="A4" s="12"/>
      <c r="B4" s="12"/>
      <c r="C4" s="13" t="s">
        <v>2</v>
      </c>
      <c r="D4" s="13" t="s">
        <v>3</v>
      </c>
      <c r="E4" s="5"/>
      <c r="F4" s="5"/>
      <c r="G4" s="13" t="s">
        <v>14</v>
      </c>
      <c r="H4" s="13" t="s">
        <v>15</v>
      </c>
      <c r="I4" s="13" t="s">
        <v>8</v>
      </c>
      <c r="J4" s="5"/>
      <c r="K4" s="5"/>
      <c r="L4" s="5"/>
    </row>
    <row r="5" spans="1:12" x14ac:dyDescent="0.25">
      <c r="A5" s="6" t="s">
        <v>9</v>
      </c>
      <c r="B5" s="6"/>
      <c r="C5" s="1">
        <v>300</v>
      </c>
      <c r="D5" s="1">
        <v>310</v>
      </c>
      <c r="E5" s="8">
        <v>20</v>
      </c>
      <c r="F5" s="9"/>
      <c r="G5" s="1">
        <v>2</v>
      </c>
      <c r="H5" s="1">
        <v>6</v>
      </c>
      <c r="I5" s="2">
        <f>G5+H5</f>
        <v>8</v>
      </c>
      <c r="J5" s="10">
        <f>C5*G5+D5*H5</f>
        <v>2460</v>
      </c>
      <c r="K5" s="11"/>
      <c r="L5" s="1">
        <f>E5-I5</f>
        <v>12</v>
      </c>
    </row>
    <row r="6" spans="1:12" x14ac:dyDescent="0.25">
      <c r="A6" s="6" t="s">
        <v>10</v>
      </c>
      <c r="B6" s="6"/>
      <c r="C6" s="1">
        <v>200</v>
      </c>
      <c r="D6" s="1">
        <v>205</v>
      </c>
      <c r="E6" s="8">
        <v>25</v>
      </c>
      <c r="F6" s="9"/>
      <c r="G6" s="1">
        <v>3</v>
      </c>
      <c r="H6" s="1">
        <v>9</v>
      </c>
      <c r="I6" s="2">
        <f t="shared" ref="I6:I9" si="0">G6+H6</f>
        <v>12</v>
      </c>
      <c r="J6" s="10">
        <f t="shared" ref="J6:J9" si="1">C6*G6+D6*H6</f>
        <v>2445</v>
      </c>
      <c r="K6" s="11"/>
      <c r="L6" s="1">
        <f t="shared" ref="L6:L9" si="2">E6-I6</f>
        <v>13</v>
      </c>
    </row>
    <row r="7" spans="1:12" ht="30" customHeight="1" x14ac:dyDescent="0.25">
      <c r="A7" s="7" t="s">
        <v>11</v>
      </c>
      <c r="B7" s="6"/>
      <c r="C7" s="1">
        <v>275</v>
      </c>
      <c r="D7" s="1">
        <v>280</v>
      </c>
      <c r="E7" s="8">
        <v>30</v>
      </c>
      <c r="F7" s="9"/>
      <c r="G7" s="1">
        <v>12</v>
      </c>
      <c r="H7" s="1">
        <v>4</v>
      </c>
      <c r="I7" s="2">
        <f t="shared" si="0"/>
        <v>16</v>
      </c>
      <c r="J7" s="10">
        <f t="shared" si="1"/>
        <v>4420</v>
      </c>
      <c r="K7" s="11"/>
      <c r="L7" s="1">
        <f t="shared" si="2"/>
        <v>14</v>
      </c>
    </row>
    <row r="8" spans="1:12" x14ac:dyDescent="0.25">
      <c r="A8" s="6" t="s">
        <v>12</v>
      </c>
      <c r="B8" s="6"/>
      <c r="C8" s="1">
        <v>415</v>
      </c>
      <c r="D8" s="1">
        <v>430</v>
      </c>
      <c r="E8" s="8">
        <v>10</v>
      </c>
      <c r="F8" s="9"/>
      <c r="G8" s="1">
        <v>2</v>
      </c>
      <c r="H8" s="1">
        <v>4</v>
      </c>
      <c r="I8" s="2">
        <f t="shared" si="0"/>
        <v>6</v>
      </c>
      <c r="J8" s="10">
        <f t="shared" si="1"/>
        <v>2550</v>
      </c>
      <c r="K8" s="11"/>
      <c r="L8" s="1">
        <f t="shared" si="2"/>
        <v>4</v>
      </c>
    </row>
    <row r="9" spans="1:12" x14ac:dyDescent="0.25">
      <c r="A9" s="6" t="s">
        <v>13</v>
      </c>
      <c r="B9" s="6"/>
      <c r="C9" s="1">
        <v>50</v>
      </c>
      <c r="D9" s="1">
        <v>51</v>
      </c>
      <c r="E9" s="8">
        <v>100</v>
      </c>
      <c r="F9" s="9"/>
      <c r="G9" s="1">
        <v>30</v>
      </c>
      <c r="H9" s="1">
        <v>40</v>
      </c>
      <c r="I9" s="2">
        <f t="shared" si="0"/>
        <v>70</v>
      </c>
      <c r="J9" s="10">
        <f t="shared" si="1"/>
        <v>3540</v>
      </c>
      <c r="K9" s="11"/>
      <c r="L9" s="1">
        <f t="shared" si="2"/>
        <v>30</v>
      </c>
    </row>
    <row r="10" spans="1:12" x14ac:dyDescent="0.25">
      <c r="A10" s="3"/>
      <c r="B10" s="3"/>
    </row>
  </sheetData>
  <mergeCells count="23">
    <mergeCell ref="A9:B9"/>
    <mergeCell ref="E9:F9"/>
    <mergeCell ref="J9:K9"/>
    <mergeCell ref="A10:B10"/>
    <mergeCell ref="A7:B7"/>
    <mergeCell ref="E7:F7"/>
    <mergeCell ref="J7:K7"/>
    <mergeCell ref="A8:B8"/>
    <mergeCell ref="E8:F8"/>
    <mergeCell ref="J8:K8"/>
    <mergeCell ref="A5:B5"/>
    <mergeCell ref="E5:F5"/>
    <mergeCell ref="J5:K5"/>
    <mergeCell ref="A6:B6"/>
    <mergeCell ref="E6:F6"/>
    <mergeCell ref="J6:K6"/>
    <mergeCell ref="A2:L2"/>
    <mergeCell ref="A3:B4"/>
    <mergeCell ref="C3:D3"/>
    <mergeCell ref="E3:F4"/>
    <mergeCell ref="G3:I3"/>
    <mergeCell ref="J3:K4"/>
    <mergeCell ref="L3:L4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5E9B-514C-4D05-9EEF-B2ADB74B65F2}">
  <dimension ref="A2:L10"/>
  <sheetViews>
    <sheetView workbookViewId="0">
      <selection activeCell="H7" sqref="H7"/>
    </sheetView>
  </sheetViews>
  <sheetFormatPr defaultRowHeight="15" x14ac:dyDescent="0.25"/>
  <cols>
    <col min="3" max="3" width="4.42578125" bestFit="1" customWidth="1"/>
    <col min="4" max="4" width="7.42578125" bestFit="1" customWidth="1"/>
    <col min="7" max="7" width="5" bestFit="1" customWidth="1"/>
    <col min="8" max="8" width="8" bestFit="1" customWidth="1"/>
    <col min="9" max="9" width="6" bestFit="1" customWidth="1"/>
    <col min="12" max="12" width="8.140625" bestFit="1" customWidth="1"/>
  </cols>
  <sheetData>
    <row r="2" spans="1:12" x14ac:dyDescent="0.25">
      <c r="A2" s="4" t="s">
        <v>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22.5" customHeight="1" x14ac:dyDescent="0.25">
      <c r="A3" s="12" t="s">
        <v>0</v>
      </c>
      <c r="B3" s="12"/>
      <c r="C3" s="5" t="s">
        <v>1</v>
      </c>
      <c r="D3" s="5"/>
      <c r="E3" s="5" t="s">
        <v>4</v>
      </c>
      <c r="F3" s="5"/>
      <c r="G3" s="5" t="s">
        <v>5</v>
      </c>
      <c r="H3" s="5"/>
      <c r="I3" s="5"/>
      <c r="J3" s="12" t="s">
        <v>6</v>
      </c>
      <c r="K3" s="5"/>
      <c r="L3" s="12" t="s">
        <v>7</v>
      </c>
    </row>
    <row r="4" spans="1:12" ht="22.5" customHeight="1" x14ac:dyDescent="0.25">
      <c r="A4" s="12"/>
      <c r="B4" s="12"/>
      <c r="C4" s="13" t="s">
        <v>2</v>
      </c>
      <c r="D4" s="13" t="s">
        <v>3</v>
      </c>
      <c r="E4" s="5"/>
      <c r="F4" s="5"/>
      <c r="G4" s="13" t="s">
        <v>14</v>
      </c>
      <c r="H4" s="13" t="s">
        <v>15</v>
      </c>
      <c r="I4" s="13" t="s">
        <v>8</v>
      </c>
      <c r="J4" s="5"/>
      <c r="K4" s="5"/>
      <c r="L4" s="5"/>
    </row>
    <row r="5" spans="1:12" x14ac:dyDescent="0.25">
      <c r="A5" s="6" t="s">
        <v>9</v>
      </c>
      <c r="B5" s="6"/>
      <c r="C5" s="1">
        <v>300</v>
      </c>
      <c r="D5" s="1">
        <v>310</v>
      </c>
      <c r="E5" s="8">
        <v>20</v>
      </c>
      <c r="F5" s="9"/>
      <c r="G5" s="1">
        <v>10</v>
      </c>
      <c r="H5" s="1">
        <v>10</v>
      </c>
      <c r="I5" s="2">
        <f>G5+H5</f>
        <v>20</v>
      </c>
      <c r="J5" s="10">
        <f>C5*G5+D5*H5</f>
        <v>6100</v>
      </c>
      <c r="K5" s="11"/>
      <c r="L5" s="1">
        <f>E5-I5</f>
        <v>0</v>
      </c>
    </row>
    <row r="6" spans="1:12" x14ac:dyDescent="0.25">
      <c r="A6" s="6" t="s">
        <v>10</v>
      </c>
      <c r="B6" s="6"/>
      <c r="C6" s="1">
        <v>200</v>
      </c>
      <c r="D6" s="1">
        <v>205</v>
      </c>
      <c r="E6" s="8">
        <v>25</v>
      </c>
      <c r="F6" s="9"/>
      <c r="G6" s="1">
        <v>12</v>
      </c>
      <c r="H6" s="1">
        <v>7</v>
      </c>
      <c r="I6" s="2">
        <f t="shared" ref="I6:I9" si="0">G6+H6</f>
        <v>19</v>
      </c>
      <c r="J6" s="10">
        <f t="shared" ref="J6:J9" si="1">C6*G6+D6*H6</f>
        <v>3835</v>
      </c>
      <c r="K6" s="11"/>
      <c r="L6" s="1">
        <f t="shared" ref="L6:L9" si="2">E6-I6</f>
        <v>6</v>
      </c>
    </row>
    <row r="7" spans="1:12" ht="30" customHeight="1" x14ac:dyDescent="0.25">
      <c r="A7" s="7" t="s">
        <v>11</v>
      </c>
      <c r="B7" s="6"/>
      <c r="C7" s="1">
        <v>275</v>
      </c>
      <c r="D7" s="1">
        <v>280</v>
      </c>
      <c r="E7" s="8">
        <v>30</v>
      </c>
      <c r="F7" s="9"/>
      <c r="G7" s="1">
        <v>22</v>
      </c>
      <c r="H7" s="1">
        <v>7</v>
      </c>
      <c r="I7" s="2">
        <f t="shared" si="0"/>
        <v>29</v>
      </c>
      <c r="J7" s="10">
        <f t="shared" si="1"/>
        <v>8010</v>
      </c>
      <c r="K7" s="11"/>
      <c r="L7" s="1">
        <f t="shared" si="2"/>
        <v>1</v>
      </c>
    </row>
    <row r="8" spans="1:12" x14ac:dyDescent="0.25">
      <c r="A8" s="6" t="s">
        <v>12</v>
      </c>
      <c r="B8" s="6"/>
      <c r="C8" s="1">
        <v>415</v>
      </c>
      <c r="D8" s="1">
        <v>430</v>
      </c>
      <c r="E8" s="8">
        <v>10</v>
      </c>
      <c r="F8" s="9"/>
      <c r="G8" s="1">
        <v>3</v>
      </c>
      <c r="H8" s="1">
        <v>3</v>
      </c>
      <c r="I8" s="2">
        <f t="shared" si="0"/>
        <v>6</v>
      </c>
      <c r="J8" s="10">
        <f t="shared" si="1"/>
        <v>2535</v>
      </c>
      <c r="K8" s="11"/>
      <c r="L8" s="1">
        <f t="shared" si="2"/>
        <v>4</v>
      </c>
    </row>
    <row r="9" spans="1:12" x14ac:dyDescent="0.25">
      <c r="A9" s="6" t="s">
        <v>13</v>
      </c>
      <c r="B9" s="6"/>
      <c r="C9" s="1">
        <v>50</v>
      </c>
      <c r="D9" s="1">
        <v>51</v>
      </c>
      <c r="E9" s="8">
        <v>100</v>
      </c>
      <c r="F9" s="9"/>
      <c r="G9" s="1">
        <v>7</v>
      </c>
      <c r="H9" s="1">
        <v>16</v>
      </c>
      <c r="I9" s="2">
        <f t="shared" si="0"/>
        <v>23</v>
      </c>
      <c r="J9" s="10">
        <f t="shared" si="1"/>
        <v>1166</v>
      </c>
      <c r="K9" s="11"/>
      <c r="L9" s="1">
        <f t="shared" si="2"/>
        <v>77</v>
      </c>
    </row>
    <row r="10" spans="1:12" x14ac:dyDescent="0.25">
      <c r="A10" s="3"/>
      <c r="B10" s="3"/>
    </row>
  </sheetData>
  <mergeCells count="23">
    <mergeCell ref="A9:B9"/>
    <mergeCell ref="E9:F9"/>
    <mergeCell ref="J9:K9"/>
    <mergeCell ref="A10:B10"/>
    <mergeCell ref="A7:B7"/>
    <mergeCell ref="E7:F7"/>
    <mergeCell ref="J7:K7"/>
    <mergeCell ref="A8:B8"/>
    <mergeCell ref="E8:F8"/>
    <mergeCell ref="J8:K8"/>
    <mergeCell ref="A5:B5"/>
    <mergeCell ref="E5:F5"/>
    <mergeCell ref="J5:K5"/>
    <mergeCell ref="A6:B6"/>
    <mergeCell ref="E6:F6"/>
    <mergeCell ref="J6:K6"/>
    <mergeCell ref="A2:L2"/>
    <mergeCell ref="A3:B4"/>
    <mergeCell ref="C3:D3"/>
    <mergeCell ref="E3:F4"/>
    <mergeCell ref="G3:I3"/>
    <mergeCell ref="J3:K4"/>
    <mergeCell ref="L3:L4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FF10-05C1-4416-9F32-AC7288D41131}">
  <dimension ref="A2:C31"/>
  <sheetViews>
    <sheetView tabSelected="1" workbookViewId="0">
      <selection activeCell="E23" sqref="E23"/>
    </sheetView>
  </sheetViews>
  <sheetFormatPr defaultRowHeight="15" outlineLevelRow="1" x14ac:dyDescent="0.25"/>
  <cols>
    <col min="1" max="1" width="21.7109375" bestFit="1" customWidth="1"/>
    <col min="2" max="2" width="14" bestFit="1" customWidth="1"/>
    <col min="3" max="3" width="24.7109375" bestFit="1" customWidth="1"/>
  </cols>
  <sheetData>
    <row r="2" spans="1:3" x14ac:dyDescent="0.25">
      <c r="A2" s="14" t="s">
        <v>17</v>
      </c>
      <c r="B2" s="14"/>
      <c r="C2" s="14"/>
    </row>
    <row r="3" spans="1:3" x14ac:dyDescent="0.25">
      <c r="A3" t="s">
        <v>18</v>
      </c>
      <c r="B3" t="s">
        <v>19</v>
      </c>
      <c r="C3" t="s">
        <v>20</v>
      </c>
    </row>
    <row r="4" spans="1:3" hidden="1" outlineLevel="1" x14ac:dyDescent="0.25">
      <c r="B4" s="15">
        <f>Март!$I$5</f>
        <v>20</v>
      </c>
      <c r="C4" s="15">
        <f>Март!$J$5</f>
        <v>6100</v>
      </c>
    </row>
    <row r="5" spans="1:3" hidden="1" outlineLevel="1" collapsed="1" x14ac:dyDescent="0.25">
      <c r="B5" s="15">
        <f>Февраль!$I$5</f>
        <v>8</v>
      </c>
      <c r="C5" s="15">
        <f>Февраль!$J$5</f>
        <v>2460</v>
      </c>
    </row>
    <row r="6" spans="1:3" hidden="1" outlineLevel="1" collapsed="1" x14ac:dyDescent="0.25">
      <c r="B6" s="15">
        <f>Январь!$I$5</f>
        <v>15</v>
      </c>
      <c r="C6" s="15">
        <f>Январь!$J$5</f>
        <v>4600</v>
      </c>
    </row>
    <row r="7" spans="1:3" collapsed="1" x14ac:dyDescent="0.25">
      <c r="A7" t="s">
        <v>9</v>
      </c>
      <c r="B7" s="15">
        <f>SUM(B4:B6)</f>
        <v>43</v>
      </c>
      <c r="C7" s="15">
        <f>SUM(C4:C6)</f>
        <v>13160</v>
      </c>
    </row>
    <row r="8" spans="1:3" hidden="1" outlineLevel="1" x14ac:dyDescent="0.25">
      <c r="B8" s="15">
        <f>Март!$I$6</f>
        <v>19</v>
      </c>
      <c r="C8" s="15">
        <f>Март!$J$6</f>
        <v>3835</v>
      </c>
    </row>
    <row r="9" spans="1:3" hidden="1" outlineLevel="1" collapsed="1" x14ac:dyDescent="0.25">
      <c r="B9" s="15">
        <f>Февраль!$I$6</f>
        <v>12</v>
      </c>
      <c r="C9" s="15">
        <f>Февраль!$J$6</f>
        <v>2445</v>
      </c>
    </row>
    <row r="10" spans="1:3" hidden="1" outlineLevel="1" collapsed="1" x14ac:dyDescent="0.25">
      <c r="B10" s="15">
        <f>Январь!$I$6</f>
        <v>12</v>
      </c>
      <c r="C10" s="15">
        <f>Январь!$J$6</f>
        <v>2435</v>
      </c>
    </row>
    <row r="11" spans="1:3" collapsed="1" x14ac:dyDescent="0.25">
      <c r="A11" t="s">
        <v>10</v>
      </c>
      <c r="B11" s="15">
        <f>SUM(B8:B10)</f>
        <v>43</v>
      </c>
      <c r="C11" s="15">
        <f>SUM(C8:C10)</f>
        <v>8715</v>
      </c>
    </row>
    <row r="12" spans="1:3" hidden="1" outlineLevel="1" x14ac:dyDescent="0.25">
      <c r="B12" s="15">
        <f>Март!$I$7</f>
        <v>29</v>
      </c>
      <c r="C12" s="15">
        <f>Март!$J$7</f>
        <v>8010</v>
      </c>
    </row>
    <row r="13" spans="1:3" hidden="1" outlineLevel="1" collapsed="1" x14ac:dyDescent="0.25">
      <c r="B13" s="15">
        <f>Февраль!$I$7</f>
        <v>16</v>
      </c>
      <c r="C13" s="15">
        <f>Февраль!$J$7</f>
        <v>4420</v>
      </c>
    </row>
    <row r="14" spans="1:3" hidden="1" outlineLevel="1" collapsed="1" x14ac:dyDescent="0.25">
      <c r="B14" s="15">
        <f>Январь!$I$7</f>
        <v>16</v>
      </c>
      <c r="C14" s="15">
        <f>Январь!$J$7</f>
        <v>4435</v>
      </c>
    </row>
    <row r="15" spans="1:3" collapsed="1" x14ac:dyDescent="0.25">
      <c r="A15" t="s">
        <v>11</v>
      </c>
      <c r="B15" s="15">
        <f>SUM(B12:B14)</f>
        <v>61</v>
      </c>
      <c r="C15" s="15">
        <f>SUM(C12:C14)</f>
        <v>16865</v>
      </c>
    </row>
    <row r="16" spans="1:3" hidden="1" outlineLevel="1" x14ac:dyDescent="0.25">
      <c r="B16" s="15">
        <f>Март!$I$8</f>
        <v>6</v>
      </c>
      <c r="C16" s="15">
        <f>Март!$J$8</f>
        <v>2535</v>
      </c>
    </row>
    <row r="17" spans="1:3" hidden="1" outlineLevel="1" collapsed="1" x14ac:dyDescent="0.25">
      <c r="B17" s="15">
        <f>Февраль!$I$8</f>
        <v>6</v>
      </c>
      <c r="C17" s="15">
        <f>Февраль!$J$8</f>
        <v>2550</v>
      </c>
    </row>
    <row r="18" spans="1:3" hidden="1" outlineLevel="1" collapsed="1" x14ac:dyDescent="0.25">
      <c r="B18" s="15">
        <f>Январь!$I$8</f>
        <v>10</v>
      </c>
      <c r="C18" s="15">
        <f>Январь!$J$8</f>
        <v>4270</v>
      </c>
    </row>
    <row r="19" spans="1:3" collapsed="1" x14ac:dyDescent="0.25">
      <c r="A19" t="s">
        <v>12</v>
      </c>
      <c r="B19" s="15">
        <f>SUM(B16:B18)</f>
        <v>22</v>
      </c>
      <c r="C19" s="15">
        <f>SUM(C16:C18)</f>
        <v>9355</v>
      </c>
    </row>
    <row r="20" spans="1:3" hidden="1" outlineLevel="1" x14ac:dyDescent="0.25">
      <c r="B20" s="15">
        <f>Март!$I$9</f>
        <v>23</v>
      </c>
      <c r="C20" s="15">
        <f>Март!$J$9</f>
        <v>1166</v>
      </c>
    </row>
    <row r="21" spans="1:3" hidden="1" outlineLevel="1" collapsed="1" x14ac:dyDescent="0.25">
      <c r="B21" s="15">
        <f>Февраль!$I$9</f>
        <v>70</v>
      </c>
      <c r="C21" s="15">
        <f>Февраль!$J$9</f>
        <v>3540</v>
      </c>
    </row>
    <row r="22" spans="1:3" hidden="1" outlineLevel="1" collapsed="1" x14ac:dyDescent="0.25">
      <c r="B22" s="15">
        <f>Январь!$I$9</f>
        <v>91</v>
      </c>
      <c r="C22" s="15">
        <f>Январь!$J$9</f>
        <v>4584</v>
      </c>
    </row>
    <row r="23" spans="1:3" collapsed="1" x14ac:dyDescent="0.25">
      <c r="A23" t="s">
        <v>13</v>
      </c>
      <c r="B23" s="15">
        <f>SUM(B20:B22)</f>
        <v>184</v>
      </c>
      <c r="C23" s="15">
        <f>SUM(C20:C22)</f>
        <v>9290</v>
      </c>
    </row>
    <row r="24" spans="1:3" x14ac:dyDescent="0.25">
      <c r="B24" s="15"/>
      <c r="C24" s="15"/>
    </row>
    <row r="25" spans="1:3" x14ac:dyDescent="0.25">
      <c r="B25" s="15"/>
      <c r="C25" s="15"/>
    </row>
    <row r="26" spans="1:3" x14ac:dyDescent="0.25">
      <c r="B26" s="15"/>
      <c r="C26" s="15"/>
    </row>
    <row r="27" spans="1:3" x14ac:dyDescent="0.25">
      <c r="B27" s="15"/>
      <c r="C27" s="15"/>
    </row>
    <row r="28" spans="1:3" x14ac:dyDescent="0.25">
      <c r="B28" s="15"/>
      <c r="C28" s="15"/>
    </row>
    <row r="29" spans="1:3" x14ac:dyDescent="0.25">
      <c r="B29" s="15"/>
      <c r="C29" s="15"/>
    </row>
    <row r="30" spans="1:3" x14ac:dyDescent="0.25">
      <c r="B30" s="15"/>
      <c r="C30" s="15"/>
    </row>
    <row r="31" spans="1:3" x14ac:dyDescent="0.25">
      <c r="B31" s="15"/>
      <c r="C31" s="15"/>
    </row>
  </sheetData>
  <dataConsolidate link="1">
    <dataRefs count="3">
      <dataRef ref="I5:K9" sheet="Март"/>
      <dataRef ref="I5:K9" sheet="Февраль"/>
      <dataRef ref="I5:K9" sheet="Январь"/>
    </dataRefs>
  </dataConsolidate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Январь</vt:lpstr>
      <vt:lpstr>Февраль</vt:lpstr>
      <vt:lpstr>Март</vt:lpstr>
      <vt:lpstr>Итог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Савкин Никита</cp:lastModifiedBy>
  <dcterms:created xsi:type="dcterms:W3CDTF">2025-12-15T18:31:26Z</dcterms:created>
  <dcterms:modified xsi:type="dcterms:W3CDTF">2025-12-16T19:25:26Z</dcterms:modified>
</cp:coreProperties>
</file>