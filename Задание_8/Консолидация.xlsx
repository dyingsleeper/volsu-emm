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4D359D7F-46B8-46AB-BEDB-6D718F6381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Октябрь" sheetId="1" r:id="rId1"/>
    <sheet name="Ноябрь" sheetId="6" r:id="rId2"/>
    <sheet name="Декабрь" sheetId="7" r:id="rId3"/>
    <sheet name="Всего за IV квартал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" i="9" l="1"/>
  <c r="E6" i="9"/>
  <c r="F6" i="9"/>
  <c r="D7" i="9"/>
  <c r="E7" i="9"/>
  <c r="F7" i="9"/>
  <c r="D8" i="9"/>
  <c r="E8" i="9"/>
  <c r="F8" i="9"/>
  <c r="D9" i="9"/>
  <c r="E9" i="9"/>
  <c r="F9" i="9"/>
  <c r="D10" i="9"/>
  <c r="E10" i="9"/>
  <c r="F10" i="9"/>
  <c r="D11" i="9"/>
  <c r="E11" i="9"/>
  <c r="F11" i="9"/>
  <c r="F13" i="9" s="1"/>
  <c r="D12" i="9"/>
  <c r="E12" i="9"/>
  <c r="F12" i="9"/>
  <c r="D13" i="9"/>
  <c r="E13" i="9"/>
  <c r="D14" i="9"/>
  <c r="E14" i="9"/>
  <c r="F14" i="9"/>
  <c r="D15" i="9"/>
  <c r="E15" i="9"/>
  <c r="F15" i="9"/>
  <c r="D16" i="9"/>
  <c r="E16" i="9"/>
  <c r="F16" i="9"/>
  <c r="D17" i="9"/>
  <c r="E17" i="9"/>
  <c r="F17" i="9"/>
  <c r="D18" i="9"/>
  <c r="E18" i="9"/>
  <c r="F18" i="9"/>
  <c r="D19" i="9"/>
  <c r="E19" i="9"/>
  <c r="F19" i="9"/>
  <c r="D20" i="9"/>
  <c r="E20" i="9"/>
  <c r="F20" i="9"/>
  <c r="D21" i="9"/>
  <c r="E21" i="9"/>
  <c r="F21" i="9"/>
  <c r="D22" i="9"/>
  <c r="E22" i="9"/>
  <c r="F22" i="9"/>
  <c r="D23" i="9"/>
  <c r="E23" i="9"/>
  <c r="E25" i="9" s="1"/>
  <c r="F23" i="9"/>
  <c r="D24" i="9"/>
  <c r="E24" i="9"/>
  <c r="F24" i="9"/>
  <c r="D25" i="9"/>
  <c r="F25" i="9"/>
  <c r="D26" i="9"/>
  <c r="E26" i="9"/>
  <c r="F26" i="9"/>
  <c r="D27" i="9"/>
  <c r="E27" i="9"/>
  <c r="F27" i="9"/>
  <c r="D28" i="9"/>
  <c r="E28" i="9"/>
  <c r="F28" i="9"/>
  <c r="D29" i="9"/>
  <c r="E29" i="9"/>
  <c r="F29" i="9"/>
  <c r="D11" i="7"/>
  <c r="E11" i="7"/>
  <c r="E11" i="6"/>
  <c r="D11" i="6"/>
  <c r="F11" i="7"/>
  <c r="F11" i="6"/>
  <c r="F11" i="1"/>
  <c r="E11" i="1"/>
  <c r="D11" i="1"/>
</calcChain>
</file>

<file path=xl/sharedStrings.xml><?xml version="1.0" encoding="utf-8"?>
<sst xmlns="http://schemas.openxmlformats.org/spreadsheetml/2006/main" count="40" uniqueCount="10">
  <si>
    <t>Предприятие</t>
  </si>
  <si>
    <t>Прибыль</t>
  </si>
  <si>
    <t>Оборотные средства</t>
  </si>
  <si>
    <t>Стоимость 
основных фондов</t>
  </si>
  <si>
    <t>ООО "Бригантина"</t>
  </si>
  <si>
    <t>ООО "Эврика"</t>
  </si>
  <si>
    <t>ООО "Милана"</t>
  </si>
  <si>
    <t>ООО "Фортуна"</t>
  </si>
  <si>
    <t>ИТОГО</t>
  </si>
  <si>
    <t>ООО "Стиль"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</si>
</sst>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2">
    <xf numFmtId="0" fontId="0" fillId="0" borderId="0" xfId="0"/>
    <xf numFmtId="2" fontId="0" fillId="0" borderId="1" xfId="0" applyNumberForma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/>
    </xf>
    <xf numFmtId="43" fontId="0" fillId="0" borderId="1" xfId="1" applyFont="1" applyBorder="1"/>
    <xf numFmtId="0" fontId="1" fillId="0" borderId="1" xfId="0" applyFont="1" applyBorder="1" applyAlignment="1">
      <alignment horizontal="center" vertical="center" textRotation="90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43" fontId="1" fillId="0" borderId="1" xfId="0" applyNumberFormat="1" applyFont="1" applyBorder="1" applyAlignment="1">
      <alignment horizontal="center" vertical="center" textRotation="90" wrapText="1"/>
    </xf>
    <xf numFmtId="43" fontId="0" fillId="0" borderId="1" xfId="1" applyNumberFormat="1" applyFont="1" applyBorder="1"/>
    <xf numFmtId="2" fontId="0" fillId="0" borderId="1" xfId="1" applyNumberFormat="1" applyFont="1" applyBorder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KonDI\projects\excel\volsu-emm\&#1047;&#1072;&#1076;&#1072;&#1085;&#1080;&#1077;_8\&#1050;&#1086;&#1085;&#1089;&#1086;&#1083;&#1080;&#1076;&#1072;&#1094;&#1080;&#1103;.xlsx" TargetMode="External"/><Relationship Id="rId2" Type="http://schemas.openxmlformats.org/officeDocument/2006/relationships/externalLinkPath" Target="file:///C:\Users\KonDI\projects\excel\volsu-emm\&#1047;&#1072;&#1076;&#1072;&#1085;&#1080;&#1077;_8\&#1050;&#1086;&#1085;&#1089;&#1086;&#1083;&#1080;&#1076;&#1072;&#1094;&#1080;&#1103;.xlsx" TargetMode="External"/><Relationship Id="rId1" Type="http://schemas.openxmlformats.org/officeDocument/2006/relationships/externalLinkPath" Target="file:///C:\Users\KonDI\projects\excel\volsu-emm\&#1047;&#1072;&#1076;&#1072;&#1085;&#1080;&#1077;_8\&#1050;&#1086;&#1085;&#1089;&#1086;&#1083;&#1080;&#1076;&#1072;&#1094;&#1080;&#1103;.xlsx" TargetMode="External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1"/>
  <sheetViews>
    <sheetView tabSelected="1" workbookViewId="0"/>
  </sheetViews>
  <sheetFormatPr defaultRowHeight="15" x14ac:dyDescent="0.25"/>
  <cols>
    <col min="4" max="4" width="11.42578125" bestFit="1" customWidth="1"/>
  </cols>
  <sheetData>
    <row r="2" spans="1:6" ht="22.5" customHeight="1" x14ac:dyDescent="0.25">
      <c r="A2" s="3" t="s">
        <v>0</v>
      </c>
      <c r="B2" s="3"/>
      <c r="C2" s="3"/>
      <c r="D2" s="6" t="s">
        <v>1</v>
      </c>
      <c r="E2" s="6" t="s">
        <v>2</v>
      </c>
      <c r="F2" s="6" t="s">
        <v>3</v>
      </c>
    </row>
    <row r="3" spans="1:6" ht="22.5" customHeight="1" x14ac:dyDescent="0.25">
      <c r="A3" s="3"/>
      <c r="B3" s="3"/>
      <c r="C3" s="3"/>
      <c r="D3" s="6"/>
      <c r="E3" s="6"/>
      <c r="F3" s="6"/>
    </row>
    <row r="4" spans="1:6" ht="22.5" customHeight="1" x14ac:dyDescent="0.25">
      <c r="A4" s="3"/>
      <c r="B4" s="3"/>
      <c r="C4" s="3"/>
      <c r="D4" s="6"/>
      <c r="E4" s="6"/>
      <c r="F4" s="6"/>
    </row>
    <row r="5" spans="1:6" ht="22.5" customHeight="1" x14ac:dyDescent="0.25">
      <c r="A5" s="3"/>
      <c r="B5" s="3"/>
      <c r="C5" s="3"/>
      <c r="D5" s="6"/>
      <c r="E5" s="6"/>
      <c r="F5" s="6"/>
    </row>
    <row r="6" spans="1:6" x14ac:dyDescent="0.25">
      <c r="A6" s="7" t="s">
        <v>4</v>
      </c>
      <c r="B6" s="7"/>
      <c r="C6" s="7"/>
      <c r="D6" s="5">
        <v>125.3</v>
      </c>
      <c r="E6" s="5">
        <v>65.400000000000006</v>
      </c>
      <c r="F6" s="5">
        <v>310.25</v>
      </c>
    </row>
    <row r="7" spans="1:6" x14ac:dyDescent="0.25">
      <c r="A7" s="7" t="s">
        <v>5</v>
      </c>
      <c r="B7" s="7"/>
      <c r="C7" s="7"/>
      <c r="D7" s="5">
        <v>129.35</v>
      </c>
      <c r="E7" s="5">
        <v>69.45</v>
      </c>
      <c r="F7" s="5">
        <v>348.29</v>
      </c>
    </row>
    <row r="8" spans="1:6" x14ac:dyDescent="0.25">
      <c r="A8" s="7" t="s">
        <v>6</v>
      </c>
      <c r="B8" s="7"/>
      <c r="C8" s="7"/>
      <c r="D8" s="5">
        <v>201.35</v>
      </c>
      <c r="E8" s="5">
        <v>102.45</v>
      </c>
      <c r="F8" s="5">
        <v>349.65</v>
      </c>
    </row>
    <row r="9" spans="1:6" x14ac:dyDescent="0.25">
      <c r="A9" s="7" t="s">
        <v>9</v>
      </c>
      <c r="B9" s="7"/>
      <c r="C9" s="7"/>
      <c r="D9" s="5">
        <v>301.25</v>
      </c>
      <c r="E9" s="5">
        <v>145.94999999999999</v>
      </c>
      <c r="F9" s="5">
        <v>579.26</v>
      </c>
    </row>
    <row r="10" spans="1:6" x14ac:dyDescent="0.25">
      <c r="A10" s="7" t="s">
        <v>7</v>
      </c>
      <c r="B10" s="7"/>
      <c r="C10" s="7"/>
      <c r="D10" s="5">
        <v>284.3</v>
      </c>
      <c r="E10" s="5">
        <v>112.58</v>
      </c>
      <c r="F10" s="5">
        <v>504.25</v>
      </c>
    </row>
    <row r="11" spans="1:6" x14ac:dyDescent="0.25">
      <c r="A11" s="4" t="s">
        <v>8</v>
      </c>
      <c r="B11" s="4"/>
      <c r="C11" s="4"/>
      <c r="D11" s="1">
        <f>SUM(D6:D10)</f>
        <v>1041.55</v>
      </c>
      <c r="E11" s="1">
        <f>SUM(E6:E10)</f>
        <v>495.83</v>
      </c>
      <c r="F11" s="1">
        <f>SUM(F6:F10)</f>
        <v>2091.6999999999998</v>
      </c>
    </row>
  </sheetData>
  <mergeCells count="10">
    <mergeCell ref="A11:C11"/>
    <mergeCell ref="D2:D5"/>
    <mergeCell ref="E2:E5"/>
    <mergeCell ref="F2:F5"/>
    <mergeCell ref="A2:C5"/>
    <mergeCell ref="A6:C6"/>
    <mergeCell ref="A7:C7"/>
    <mergeCell ref="A8:C8"/>
    <mergeCell ref="A9:C9"/>
    <mergeCell ref="A10:C10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21527-DD5F-479B-BD30-404BA5D72DCC}">
  <dimension ref="A2:F11"/>
  <sheetViews>
    <sheetView workbookViewId="0">
      <selection activeCell="L15" sqref="L15"/>
    </sheetView>
  </sheetViews>
  <sheetFormatPr defaultRowHeight="15" x14ac:dyDescent="0.25"/>
  <cols>
    <col min="4" max="4" width="11.42578125" bestFit="1" customWidth="1"/>
  </cols>
  <sheetData>
    <row r="2" spans="1:6" ht="22.5" customHeight="1" x14ac:dyDescent="0.25">
      <c r="A2" s="3" t="s">
        <v>0</v>
      </c>
      <c r="B2" s="3"/>
      <c r="C2" s="3"/>
      <c r="D2" s="6" t="s">
        <v>1</v>
      </c>
      <c r="E2" s="6" t="s">
        <v>2</v>
      </c>
      <c r="F2" s="6" t="s">
        <v>3</v>
      </c>
    </row>
    <row r="3" spans="1:6" ht="22.5" customHeight="1" x14ac:dyDescent="0.25">
      <c r="A3" s="3"/>
      <c r="B3" s="3"/>
      <c r="C3" s="3"/>
      <c r="D3" s="6"/>
      <c r="E3" s="6"/>
      <c r="F3" s="6"/>
    </row>
    <row r="4" spans="1:6" ht="22.5" customHeight="1" x14ac:dyDescent="0.25">
      <c r="A4" s="3"/>
      <c r="B4" s="3"/>
      <c r="C4" s="3"/>
      <c r="D4" s="6"/>
      <c r="E4" s="6"/>
      <c r="F4" s="6"/>
    </row>
    <row r="5" spans="1:6" ht="22.5" customHeight="1" x14ac:dyDescent="0.25">
      <c r="A5" s="3"/>
      <c r="B5" s="3"/>
      <c r="C5" s="3"/>
      <c r="D5" s="6"/>
      <c r="E5" s="6"/>
      <c r="F5" s="6"/>
    </row>
    <row r="6" spans="1:6" x14ac:dyDescent="0.25">
      <c r="A6" s="7" t="s">
        <v>4</v>
      </c>
      <c r="B6" s="7"/>
      <c r="C6" s="7"/>
      <c r="D6" s="5">
        <v>182.13</v>
      </c>
      <c r="E6" s="5">
        <v>65.23</v>
      </c>
      <c r="F6" s="5">
        <v>437.73</v>
      </c>
    </row>
    <row r="7" spans="1:6" x14ac:dyDescent="0.25">
      <c r="A7" s="7" t="s">
        <v>5</v>
      </c>
      <c r="B7" s="7"/>
      <c r="C7" s="7"/>
      <c r="D7" s="5">
        <v>250.01</v>
      </c>
      <c r="E7" s="5">
        <v>118.75</v>
      </c>
      <c r="F7" s="5">
        <v>409.7</v>
      </c>
    </row>
    <row r="8" spans="1:6" x14ac:dyDescent="0.25">
      <c r="A8" s="7" t="s">
        <v>6</v>
      </c>
      <c r="B8" s="7"/>
      <c r="C8" s="7"/>
      <c r="D8" s="5">
        <v>231.68</v>
      </c>
      <c r="E8" s="5">
        <v>114.46</v>
      </c>
      <c r="F8" s="5">
        <v>517.79999999999995</v>
      </c>
    </row>
    <row r="9" spans="1:6" x14ac:dyDescent="0.25">
      <c r="A9" s="7" t="s">
        <v>9</v>
      </c>
      <c r="B9" s="7"/>
      <c r="C9" s="7"/>
      <c r="D9" s="5">
        <v>222.82</v>
      </c>
      <c r="E9" s="5">
        <v>143.22999999999999</v>
      </c>
      <c r="F9" s="5">
        <v>492.37</v>
      </c>
    </row>
    <row r="10" spans="1:6" x14ac:dyDescent="0.25">
      <c r="A10" s="7" t="s">
        <v>7</v>
      </c>
      <c r="B10" s="7"/>
      <c r="C10" s="7"/>
      <c r="D10" s="5">
        <v>247.23</v>
      </c>
      <c r="E10" s="5">
        <v>112.3</v>
      </c>
      <c r="F10" s="5">
        <v>595.39</v>
      </c>
    </row>
    <row r="11" spans="1:6" x14ac:dyDescent="0.25">
      <c r="A11" s="4" t="s">
        <v>8</v>
      </c>
      <c r="B11" s="4"/>
      <c r="C11" s="4"/>
      <c r="D11" s="1">
        <f>SUM(D6:D10)</f>
        <v>1133.8699999999999</v>
      </c>
      <c r="E11" s="1">
        <f>SUM(E6:E10)</f>
        <v>553.96999999999991</v>
      </c>
      <c r="F11" s="1">
        <f>SUM(F6:F10)</f>
        <v>2452.9899999999998</v>
      </c>
    </row>
  </sheetData>
  <mergeCells count="10">
    <mergeCell ref="A8:C8"/>
    <mergeCell ref="A9:C9"/>
    <mergeCell ref="A10:C10"/>
    <mergeCell ref="A11:C11"/>
    <mergeCell ref="A2:C5"/>
    <mergeCell ref="D2:D5"/>
    <mergeCell ref="E2:E5"/>
    <mergeCell ref="F2:F5"/>
    <mergeCell ref="A6:C6"/>
    <mergeCell ref="A7:C7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232DA-E5CB-4573-AFF9-66B2F752895F}">
  <dimension ref="A2:F11"/>
  <sheetViews>
    <sheetView workbookViewId="0">
      <selection activeCell="E30" sqref="E30"/>
    </sheetView>
  </sheetViews>
  <sheetFormatPr defaultRowHeight="15" x14ac:dyDescent="0.25"/>
  <cols>
    <col min="4" max="4" width="11.42578125" bestFit="1" customWidth="1"/>
  </cols>
  <sheetData>
    <row r="2" spans="1:6" ht="22.5" customHeight="1" x14ac:dyDescent="0.25">
      <c r="A2" s="3" t="s">
        <v>0</v>
      </c>
      <c r="B2" s="3"/>
      <c r="C2" s="3"/>
      <c r="D2" s="6" t="s">
        <v>1</v>
      </c>
      <c r="E2" s="6" t="s">
        <v>2</v>
      </c>
      <c r="F2" s="6" t="s">
        <v>3</v>
      </c>
    </row>
    <row r="3" spans="1:6" ht="22.5" customHeight="1" x14ac:dyDescent="0.25">
      <c r="A3" s="3"/>
      <c r="B3" s="3"/>
      <c r="C3" s="3"/>
      <c r="D3" s="6"/>
      <c r="E3" s="6"/>
      <c r="F3" s="6"/>
    </row>
    <row r="4" spans="1:6" ht="22.5" customHeight="1" x14ac:dyDescent="0.25">
      <c r="A4" s="3"/>
      <c r="B4" s="3"/>
      <c r="C4" s="3"/>
      <c r="D4" s="6"/>
      <c r="E4" s="6"/>
      <c r="F4" s="6"/>
    </row>
    <row r="5" spans="1:6" ht="22.5" customHeight="1" x14ac:dyDescent="0.25">
      <c r="A5" s="3"/>
      <c r="B5" s="3"/>
      <c r="C5" s="3"/>
      <c r="D5" s="6"/>
      <c r="E5" s="6"/>
      <c r="F5" s="6"/>
    </row>
    <row r="6" spans="1:6" x14ac:dyDescent="0.25">
      <c r="A6" s="7" t="s">
        <v>4</v>
      </c>
      <c r="B6" s="7"/>
      <c r="C6" s="7"/>
      <c r="D6" s="5">
        <v>222.02</v>
      </c>
      <c r="E6" s="5">
        <v>121.29</v>
      </c>
      <c r="F6" s="5">
        <v>346.3</v>
      </c>
    </row>
    <row r="7" spans="1:6" x14ac:dyDescent="0.25">
      <c r="A7" s="7" t="s">
        <v>5</v>
      </c>
      <c r="B7" s="7"/>
      <c r="C7" s="7"/>
      <c r="D7" s="5">
        <v>262.72000000000003</v>
      </c>
      <c r="E7" s="5">
        <v>91.98</v>
      </c>
      <c r="F7" s="5">
        <v>302.24</v>
      </c>
    </row>
    <row r="8" spans="1:6" x14ac:dyDescent="0.25">
      <c r="A8" s="7" t="s">
        <v>6</v>
      </c>
      <c r="B8" s="7"/>
      <c r="C8" s="7"/>
      <c r="D8" s="5">
        <v>284.66000000000003</v>
      </c>
      <c r="E8" s="5">
        <v>113.27</v>
      </c>
      <c r="F8" s="5">
        <v>505.36</v>
      </c>
    </row>
    <row r="9" spans="1:6" x14ac:dyDescent="0.25">
      <c r="A9" s="7" t="s">
        <v>9</v>
      </c>
      <c r="B9" s="7"/>
      <c r="C9" s="7"/>
      <c r="D9" s="5">
        <v>299</v>
      </c>
      <c r="E9" s="5">
        <v>103.3</v>
      </c>
      <c r="F9" s="5">
        <v>481.64</v>
      </c>
    </row>
    <row r="10" spans="1:6" x14ac:dyDescent="0.25">
      <c r="A10" s="7" t="s">
        <v>7</v>
      </c>
      <c r="B10" s="7"/>
      <c r="C10" s="7"/>
      <c r="D10" s="5">
        <v>266.72000000000003</v>
      </c>
      <c r="E10" s="5">
        <v>116.98</v>
      </c>
      <c r="F10" s="5">
        <v>398.86</v>
      </c>
    </row>
    <row r="11" spans="1:6" x14ac:dyDescent="0.25">
      <c r="A11" s="4" t="s">
        <v>8</v>
      </c>
      <c r="B11" s="4"/>
      <c r="C11" s="4"/>
      <c r="D11" s="1">
        <f>SUM(D6:D10)</f>
        <v>1335.1200000000001</v>
      </c>
      <c r="E11" s="1">
        <f>SUM(E6:E10)</f>
        <v>546.82000000000005</v>
      </c>
      <c r="F11" s="1">
        <f>SUM(F6:F10)</f>
        <v>2034.4</v>
      </c>
    </row>
  </sheetData>
  <mergeCells count="10">
    <mergeCell ref="A8:C8"/>
    <mergeCell ref="A9:C9"/>
    <mergeCell ref="A10:C10"/>
    <mergeCell ref="A11:C11"/>
    <mergeCell ref="A2:C5"/>
    <mergeCell ref="D2:D5"/>
    <mergeCell ref="E2:E5"/>
    <mergeCell ref="F2:F5"/>
    <mergeCell ref="A6:C6"/>
    <mergeCell ref="A7:C7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E5E55-900F-4091-A1EE-514EDD81AE04}">
  <dimension ref="A2:F29"/>
  <sheetViews>
    <sheetView workbookViewId="0">
      <selection activeCell="H21" sqref="H21"/>
    </sheetView>
  </sheetViews>
  <sheetFormatPr defaultRowHeight="15" outlineLevelRow="1" x14ac:dyDescent="0.25"/>
  <cols>
    <col min="4" max="4" width="11.42578125" bestFit="1" customWidth="1"/>
  </cols>
  <sheetData>
    <row r="2" spans="1:6" ht="22.5" customHeight="1" x14ac:dyDescent="0.25">
      <c r="A2" s="3" t="s">
        <v>0</v>
      </c>
      <c r="B2" s="3"/>
      <c r="C2" s="3"/>
      <c r="D2" s="6" t="s">
        <v>1</v>
      </c>
      <c r="E2" s="6" t="s">
        <v>2</v>
      </c>
      <c r="F2" s="6" t="s">
        <v>3</v>
      </c>
    </row>
    <row r="3" spans="1:6" ht="22.5" customHeight="1" x14ac:dyDescent="0.25">
      <c r="A3" s="3"/>
      <c r="B3" s="3"/>
      <c r="C3" s="3"/>
      <c r="D3" s="6"/>
      <c r="E3" s="6"/>
      <c r="F3" s="6"/>
    </row>
    <row r="4" spans="1:6" ht="22.5" customHeight="1" x14ac:dyDescent="0.25">
      <c r="A4" s="3"/>
      <c r="B4" s="3"/>
      <c r="C4" s="3"/>
      <c r="D4" s="6"/>
      <c r="E4" s="6"/>
      <c r="F4" s="6"/>
    </row>
    <row r="5" spans="1:6" ht="22.5" customHeight="1" x14ac:dyDescent="0.25">
      <c r="A5" s="3"/>
      <c r="B5" s="3"/>
      <c r="C5" s="3"/>
      <c r="D5" s="6"/>
      <c r="E5" s="6"/>
      <c r="F5" s="6"/>
    </row>
    <row r="6" spans="1:6" ht="22.5" hidden="1" customHeight="1" outlineLevel="1" x14ac:dyDescent="0.25">
      <c r="A6" s="2"/>
      <c r="B6" s="2"/>
      <c r="C6" s="2"/>
      <c r="D6" s="9">
        <f>Декабрь!$D$6</f>
        <v>222.02</v>
      </c>
      <c r="E6" s="9">
        <f>Декабрь!$E$6</f>
        <v>121.29</v>
      </c>
      <c r="F6" s="9">
        <f>Декабрь!$F$6</f>
        <v>346.3</v>
      </c>
    </row>
    <row r="7" spans="1:6" ht="22.5" hidden="1" customHeight="1" outlineLevel="1" collapsed="1" x14ac:dyDescent="0.25">
      <c r="A7" s="2"/>
      <c r="B7" s="2"/>
      <c r="C7" s="2"/>
      <c r="D7" s="9">
        <f>Ноябрь!$D$6</f>
        <v>182.13</v>
      </c>
      <c r="E7" s="9">
        <f>Ноябрь!$E$6</f>
        <v>65.23</v>
      </c>
      <c r="F7" s="9">
        <f>Ноябрь!$F$6</f>
        <v>437.73</v>
      </c>
    </row>
    <row r="8" spans="1:6" ht="22.5" hidden="1" customHeight="1" outlineLevel="1" collapsed="1" x14ac:dyDescent="0.25">
      <c r="A8" s="2"/>
      <c r="B8" s="2"/>
      <c r="C8" s="2"/>
      <c r="D8" s="9">
        <f>Октябрь!$D$6</f>
        <v>125.3</v>
      </c>
      <c r="E8" s="9">
        <f>Октябрь!$E$6</f>
        <v>65.400000000000006</v>
      </c>
      <c r="F8" s="9">
        <f>Октябрь!$F$6</f>
        <v>310.25</v>
      </c>
    </row>
    <row r="9" spans="1:6" collapsed="1" x14ac:dyDescent="0.25">
      <c r="A9" s="7" t="s">
        <v>4</v>
      </c>
      <c r="B9" s="7"/>
      <c r="C9" s="7"/>
      <c r="D9" s="10">
        <f>SUM(D6:D8)</f>
        <v>529.44999999999993</v>
      </c>
      <c r="E9" s="10">
        <f>SUM(E6:E8)</f>
        <v>251.92000000000002</v>
      </c>
      <c r="F9" s="10">
        <f>SUM(F6:F8)</f>
        <v>1094.28</v>
      </c>
    </row>
    <row r="10" spans="1:6" hidden="1" outlineLevel="1" x14ac:dyDescent="0.25">
      <c r="A10" s="8"/>
      <c r="B10" s="8"/>
      <c r="C10" s="8"/>
      <c r="D10" s="10">
        <f>Декабрь!$D$7</f>
        <v>262.72000000000003</v>
      </c>
      <c r="E10" s="10">
        <f>Декабрь!$E$7</f>
        <v>91.98</v>
      </c>
      <c r="F10" s="10">
        <f>Декабрь!$F$7</f>
        <v>302.24</v>
      </c>
    </row>
    <row r="11" spans="1:6" hidden="1" outlineLevel="1" collapsed="1" x14ac:dyDescent="0.25">
      <c r="A11" s="8"/>
      <c r="B11" s="8"/>
      <c r="C11" s="8"/>
      <c r="D11" s="10">
        <f>Ноябрь!$D$7</f>
        <v>250.01</v>
      </c>
      <c r="E11" s="10">
        <f>Ноябрь!$E$7</f>
        <v>118.75</v>
      </c>
      <c r="F11" s="10">
        <f>Ноябрь!$F$7</f>
        <v>409.7</v>
      </c>
    </row>
    <row r="12" spans="1:6" hidden="1" outlineLevel="1" collapsed="1" x14ac:dyDescent="0.25">
      <c r="A12" s="8"/>
      <c r="B12" s="8"/>
      <c r="C12" s="8"/>
      <c r="D12" s="10">
        <f>Октябрь!$D$7</f>
        <v>129.35</v>
      </c>
      <c r="E12" s="10">
        <f>Октябрь!$E$7</f>
        <v>69.45</v>
      </c>
      <c r="F12" s="10">
        <f>Октябрь!$F$7</f>
        <v>348.29</v>
      </c>
    </row>
    <row r="13" spans="1:6" collapsed="1" x14ac:dyDescent="0.25">
      <c r="A13" s="7" t="s">
        <v>5</v>
      </c>
      <c r="B13" s="7"/>
      <c r="C13" s="7"/>
      <c r="D13" s="10">
        <f>SUM(D10:D12)</f>
        <v>642.08000000000004</v>
      </c>
      <c r="E13" s="10">
        <f>SUM(E10:E12)</f>
        <v>280.18</v>
      </c>
      <c r="F13" s="10">
        <f>SUM(F10:F12)</f>
        <v>1060.23</v>
      </c>
    </row>
    <row r="14" spans="1:6" hidden="1" outlineLevel="1" x14ac:dyDescent="0.25">
      <c r="A14" s="8"/>
      <c r="B14" s="8"/>
      <c r="C14" s="8"/>
      <c r="D14" s="10">
        <f>Декабрь!$D$8</f>
        <v>284.66000000000003</v>
      </c>
      <c r="E14" s="10">
        <f>Декабрь!$E$8</f>
        <v>113.27</v>
      </c>
      <c r="F14" s="10">
        <f>Декабрь!$F$8</f>
        <v>505.36</v>
      </c>
    </row>
    <row r="15" spans="1:6" hidden="1" outlineLevel="1" collapsed="1" x14ac:dyDescent="0.25">
      <c r="A15" s="8"/>
      <c r="B15" s="8"/>
      <c r="C15" s="8"/>
      <c r="D15" s="10">
        <f>Ноябрь!$D$8</f>
        <v>231.68</v>
      </c>
      <c r="E15" s="10">
        <f>Ноябрь!$E$8</f>
        <v>114.46</v>
      </c>
      <c r="F15" s="10">
        <f>Ноябрь!$F$8</f>
        <v>517.79999999999995</v>
      </c>
    </row>
    <row r="16" spans="1:6" hidden="1" outlineLevel="1" collapsed="1" x14ac:dyDescent="0.25">
      <c r="A16" s="8"/>
      <c r="B16" s="8"/>
      <c r="C16" s="8"/>
      <c r="D16" s="10">
        <f>Октябрь!$D$8</f>
        <v>201.35</v>
      </c>
      <c r="E16" s="10">
        <f>Октябрь!$E$8</f>
        <v>102.45</v>
      </c>
      <c r="F16" s="10">
        <f>Октябрь!$F$8</f>
        <v>349.65</v>
      </c>
    </row>
    <row r="17" spans="1:6" collapsed="1" x14ac:dyDescent="0.25">
      <c r="A17" s="7" t="s">
        <v>6</v>
      </c>
      <c r="B17" s="7"/>
      <c r="C17" s="7"/>
      <c r="D17" s="10">
        <f>SUM(D14:D16)</f>
        <v>717.69</v>
      </c>
      <c r="E17" s="10">
        <f>SUM(E14:E16)</f>
        <v>330.18</v>
      </c>
      <c r="F17" s="10">
        <f>SUM(F14:F16)</f>
        <v>1372.81</v>
      </c>
    </row>
    <row r="18" spans="1:6" hidden="1" outlineLevel="1" x14ac:dyDescent="0.25">
      <c r="A18" s="8"/>
      <c r="B18" s="8"/>
      <c r="C18" s="8"/>
      <c r="D18" s="10">
        <f>Декабрь!$D$9</f>
        <v>299</v>
      </c>
      <c r="E18" s="10">
        <f>Декабрь!$E$9</f>
        <v>103.3</v>
      </c>
      <c r="F18" s="10">
        <f>Декабрь!$F$9</f>
        <v>481.64</v>
      </c>
    </row>
    <row r="19" spans="1:6" hidden="1" outlineLevel="1" collapsed="1" x14ac:dyDescent="0.25">
      <c r="A19" s="8"/>
      <c r="B19" s="8"/>
      <c r="C19" s="8"/>
      <c r="D19" s="10">
        <f>Ноябрь!$D$9</f>
        <v>222.82</v>
      </c>
      <c r="E19" s="10">
        <f>Ноябрь!$E$9</f>
        <v>143.22999999999999</v>
      </c>
      <c r="F19" s="10">
        <f>Ноябрь!$F$9</f>
        <v>492.37</v>
      </c>
    </row>
    <row r="20" spans="1:6" hidden="1" outlineLevel="1" collapsed="1" x14ac:dyDescent="0.25">
      <c r="A20" s="8"/>
      <c r="B20" s="8"/>
      <c r="C20" s="8"/>
      <c r="D20" s="10">
        <f>Октябрь!$D$9</f>
        <v>301.25</v>
      </c>
      <c r="E20" s="10">
        <f>Октябрь!$E$9</f>
        <v>145.94999999999999</v>
      </c>
      <c r="F20" s="10">
        <f>Октябрь!$F$9</f>
        <v>579.26</v>
      </c>
    </row>
    <row r="21" spans="1:6" collapsed="1" x14ac:dyDescent="0.25">
      <c r="A21" s="7" t="s">
        <v>9</v>
      </c>
      <c r="B21" s="7"/>
      <c r="C21" s="7"/>
      <c r="D21" s="10">
        <f>SUM(D18:D20)</f>
        <v>823.06999999999994</v>
      </c>
      <c r="E21" s="10">
        <f>SUM(E18:E20)</f>
        <v>392.47999999999996</v>
      </c>
      <c r="F21" s="10">
        <f>SUM(F18:F20)</f>
        <v>1553.27</v>
      </c>
    </row>
    <row r="22" spans="1:6" hidden="1" outlineLevel="1" x14ac:dyDescent="0.25">
      <c r="A22" s="8"/>
      <c r="B22" s="8"/>
      <c r="C22" s="8"/>
      <c r="D22" s="10">
        <f>Декабрь!$D$10</f>
        <v>266.72000000000003</v>
      </c>
      <c r="E22" s="10">
        <f>Декабрь!$E$10</f>
        <v>116.98</v>
      </c>
      <c r="F22" s="10">
        <f>Декабрь!$F$10</f>
        <v>398.86</v>
      </c>
    </row>
    <row r="23" spans="1:6" hidden="1" outlineLevel="1" collapsed="1" x14ac:dyDescent="0.25">
      <c r="A23" s="8"/>
      <c r="B23" s="8"/>
      <c r="C23" s="8"/>
      <c r="D23" s="10">
        <f>Ноябрь!$D$10</f>
        <v>247.23</v>
      </c>
      <c r="E23" s="10">
        <f>Ноябрь!$E$10</f>
        <v>112.3</v>
      </c>
      <c r="F23" s="10">
        <f>Ноябрь!$F$10</f>
        <v>595.39</v>
      </c>
    </row>
    <row r="24" spans="1:6" hidden="1" outlineLevel="1" collapsed="1" x14ac:dyDescent="0.25">
      <c r="A24" s="8"/>
      <c r="B24" s="8"/>
      <c r="C24" s="8"/>
      <c r="D24" s="10">
        <f>Октябрь!$D$10</f>
        <v>284.3</v>
      </c>
      <c r="E24" s="10">
        <f>Октябрь!$E$10</f>
        <v>112.58</v>
      </c>
      <c r="F24" s="10">
        <f>Октябрь!$F$10</f>
        <v>504.25</v>
      </c>
    </row>
    <row r="25" spans="1:6" collapsed="1" x14ac:dyDescent="0.25">
      <c r="A25" s="7" t="s">
        <v>7</v>
      </c>
      <c r="B25" s="7"/>
      <c r="C25" s="7"/>
      <c r="D25" s="10">
        <f>SUM(D22:D24)</f>
        <v>798.25</v>
      </c>
      <c r="E25" s="10">
        <f>SUM(E22:E24)</f>
        <v>341.86</v>
      </c>
      <c r="F25" s="10">
        <f>SUM(F22:F24)</f>
        <v>1498.5</v>
      </c>
    </row>
    <row r="26" spans="1:6" hidden="1" outlineLevel="1" x14ac:dyDescent="0.25">
      <c r="A26" s="8"/>
      <c r="B26" s="8"/>
      <c r="C26" s="8"/>
      <c r="D26" s="11">
        <f>Декабрь!$D$11</f>
        <v>1335.1200000000001</v>
      </c>
      <c r="E26" s="11">
        <f>Декабрь!$E$11</f>
        <v>546.82000000000005</v>
      </c>
      <c r="F26" s="11">
        <f>Декабрь!$F$11</f>
        <v>2034.4</v>
      </c>
    </row>
    <row r="27" spans="1:6" hidden="1" outlineLevel="1" collapsed="1" x14ac:dyDescent="0.25">
      <c r="A27" s="8"/>
      <c r="B27" s="8"/>
      <c r="C27" s="8"/>
      <c r="D27" s="11">
        <f>Ноябрь!$D$11</f>
        <v>1133.8699999999999</v>
      </c>
      <c r="E27" s="11">
        <f>Ноябрь!$E$11</f>
        <v>553.96999999999991</v>
      </c>
      <c r="F27" s="11">
        <f>Ноябрь!$F$11</f>
        <v>2452.9899999999998</v>
      </c>
    </row>
    <row r="28" spans="1:6" hidden="1" outlineLevel="1" collapsed="1" x14ac:dyDescent="0.25">
      <c r="A28" s="8"/>
      <c r="B28" s="8"/>
      <c r="C28" s="8"/>
      <c r="D28" s="11">
        <f>Октябрь!$D$11</f>
        <v>1041.55</v>
      </c>
      <c r="E28" s="11">
        <f>Октябрь!$E$11</f>
        <v>495.83</v>
      </c>
      <c r="F28" s="11">
        <f>Октябрь!$F$11</f>
        <v>2091.6999999999998</v>
      </c>
    </row>
    <row r="29" spans="1:6" collapsed="1" x14ac:dyDescent="0.25">
      <c r="A29" s="4" t="s">
        <v>8</v>
      </c>
      <c r="B29" s="4"/>
      <c r="C29" s="4"/>
      <c r="D29" s="1">
        <f>SUM(D26:D28)</f>
        <v>3510.54</v>
      </c>
      <c r="E29" s="1">
        <f>SUM(E26:E28)</f>
        <v>1596.62</v>
      </c>
      <c r="F29" s="1">
        <f>SUM(F26:F28)</f>
        <v>6579.0899999999992</v>
      </c>
    </row>
  </sheetData>
  <dataConsolidate link="1">
    <dataRefs count="3">
      <dataRef ref="D6:F11" sheet="Декабрь" r:id="rId1"/>
      <dataRef ref="D6:F11" sheet="Ноябрь" r:id="rId2"/>
      <dataRef ref="D6:F11" sheet="Октябрь" r:id="rId3"/>
    </dataRefs>
  </dataConsolidate>
  <mergeCells count="10">
    <mergeCell ref="A17:C17"/>
    <mergeCell ref="A21:C21"/>
    <mergeCell ref="A25:C25"/>
    <mergeCell ref="A29:C29"/>
    <mergeCell ref="A2:C5"/>
    <mergeCell ref="D2:D5"/>
    <mergeCell ref="E2:E5"/>
    <mergeCell ref="F2:F5"/>
    <mergeCell ref="A9:C9"/>
    <mergeCell ref="A13:C13"/>
  </mergeCells>
  <pageMargins left="0.7" right="0.7" top="0.75" bottom="0.75" header="0.3" footer="0.3"/>
  <pageSetup paperSize="9" orientation="portrait" horizontalDpi="0" verticalDpi="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Октябрь</vt:lpstr>
      <vt:lpstr>Ноябрь</vt:lpstr>
      <vt:lpstr>Декабрь</vt:lpstr>
      <vt:lpstr>Всего за IV квартал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2025-12-16T19:33:37Z</dcterms:modified>
</cp:coreProperties>
</file>