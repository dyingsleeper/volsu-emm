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DI\projects\excel\volsu-emm\Задание_3\"/>
    </mc:Choice>
  </mc:AlternateContent>
  <xr:revisionPtr revIDLastSave="0" documentId="13_ncr:1_{0A2B9CB6-519A-4736-B61A-E8AC1BDB5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Цены" sheetId="1" r:id="rId1"/>
    <sheet name="Продажи_2" sheetId="2" r:id="rId2"/>
  </sheets>
  <definedNames>
    <definedName name="Курс" localSheetId="1">Продажи_2!$H$2:$H$16</definedName>
    <definedName name="Цена" localSheetId="1">Продажи_2!$G$2:$G$16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KonDI</author>
  </authors>
  <commentList>
    <comment ref="B2" authorId="0" shapeId="0" xr:uid="{B4310BB3-9D80-49D7-A94E-5FBBD48CE832}">
      <text>
        <r>
          <rPr>
            <sz val="9"/>
            <color indexed="81"/>
            <rFont val="Tahoma"/>
            <family val="2"/>
            <charset val="204"/>
          </rPr>
          <t>Серийный № 65950. Изготовлен 12.03.06 г. Контракт о поставке № 936</t>
        </r>
      </text>
    </comment>
    <comment ref="B3" authorId="0" shapeId="0" xr:uid="{9D1367DD-5DD8-4A3C-AAC1-2C285F5D056B}">
      <text>
        <r>
          <rPr>
            <sz val="9"/>
            <color indexed="81"/>
            <rFont val="Tahoma"/>
            <family val="2"/>
            <charset val="204"/>
          </rPr>
          <t>Серийный № 16250. Изготовлен 14.12.05 г. Контракт о поставке № 417</t>
        </r>
      </text>
    </comment>
    <comment ref="B4" authorId="0" shapeId="0" xr:uid="{F247E8B1-9355-4621-B1F6-42461FEB6E62}">
      <text>
        <r>
          <rPr>
            <sz val="9"/>
            <color indexed="81"/>
            <rFont val="Tahoma"/>
            <family val="2"/>
            <charset val="204"/>
          </rPr>
          <t>Серийный № 50402. Изготовлен 17.11.05 г. Контракт о поставке № 852</t>
        </r>
      </text>
    </comment>
    <comment ref="B5" authorId="0" shapeId="0" xr:uid="{C5F191B6-B4E3-43DE-B695-9BC2D5855701}">
      <text>
        <r>
          <rPr>
            <sz val="9"/>
            <color indexed="81"/>
            <rFont val="Tahoma"/>
            <family val="2"/>
            <charset val="204"/>
          </rPr>
          <t>Серийный № 34763. Изготовлен 10.10.05 г. Контракт о поставке № 378</t>
        </r>
      </text>
    </comment>
    <comment ref="B6" authorId="0" shapeId="0" xr:uid="{0614515E-27F8-43DC-98DD-2907248BEA98}">
      <text>
        <r>
          <rPr>
            <sz val="9"/>
            <color indexed="81"/>
            <rFont val="Tahoma"/>
            <family val="2"/>
            <charset val="204"/>
          </rPr>
          <t xml:space="preserve"> Серийный № 98738. Изготовлен 03.02.06 г. Контракт о поставке № 413</t>
        </r>
      </text>
    </comment>
    <comment ref="B7" authorId="0" shapeId="0" xr:uid="{695F693D-9535-4EC2-9AD2-B17F9BB4B7A7}">
      <text>
        <r>
          <rPr>
            <sz val="9"/>
            <color indexed="81"/>
            <rFont val="Tahoma"/>
            <family val="2"/>
            <charset val="204"/>
          </rPr>
          <t>Серийный № 45295. Изготовлен 23.01.06 г. Контракт о поставке № 795</t>
        </r>
      </text>
    </comment>
    <comment ref="B8" authorId="0" shapeId="0" xr:uid="{6BAE209B-F528-4A93-9933-DE277D01017F}">
      <text>
        <r>
          <rPr>
            <sz val="9"/>
            <color indexed="81"/>
            <rFont val="Tahoma"/>
            <family val="2"/>
            <charset val="204"/>
          </rPr>
          <t>Серийный № 32794. Изготовлен 17.12.05 г. Контракт о поставке № 156</t>
        </r>
      </text>
    </comment>
    <comment ref="B9" authorId="0" shapeId="0" xr:uid="{2909714D-DACE-4903-8D05-193BF07C35E5}">
      <text>
        <r>
          <rPr>
            <sz val="9"/>
            <color indexed="81"/>
            <rFont val="Tahoma"/>
            <family val="2"/>
            <charset val="204"/>
          </rPr>
          <t>Серийный № 28277. Изготовлен 06.12.05 г. Контракт о поставке № 576</t>
        </r>
      </text>
    </comment>
    <comment ref="B10" authorId="0" shapeId="0" xr:uid="{D1F1328B-FC8B-4762-BCF3-9B9EE5763480}">
      <text>
        <r>
          <rPr>
            <sz val="9"/>
            <color indexed="81"/>
            <rFont val="Tahoma"/>
            <family val="2"/>
            <charset val="204"/>
          </rPr>
          <t>Серийный № 92176. Изготовлен 03.06.06 г. Контракт о поставке № 377</t>
        </r>
      </text>
    </comment>
    <comment ref="B11" authorId="0" shapeId="0" xr:uid="{FF6CEDC9-7C39-4942-BDBE-55E7BE33C639}">
      <text>
        <r>
          <rPr>
            <sz val="9"/>
            <color indexed="81"/>
            <rFont val="Tahoma"/>
            <family val="2"/>
            <charset val="204"/>
          </rPr>
          <t>Серийный № 61851. Изготовлен 15.10.05 г. Контракт о поставке № 194</t>
        </r>
      </text>
    </comment>
    <comment ref="B12" authorId="0" shapeId="0" xr:uid="{47D0657C-89FE-4DE5-ABDD-56EAA0702759}">
      <text>
        <r>
          <rPr>
            <sz val="9"/>
            <color indexed="81"/>
            <rFont val="Tahoma"/>
            <family val="2"/>
            <charset val="204"/>
          </rPr>
          <t>Серийный № 60239. Изготовлен 11.07.05 г. Контракт о поставке № 764</t>
        </r>
      </text>
    </comment>
    <comment ref="B13" authorId="0" shapeId="0" xr:uid="{7A195CD8-C28F-4ED5-962A-C6ECFA697A5B}">
      <text>
        <r>
          <rPr>
            <sz val="9"/>
            <color indexed="81"/>
            <rFont val="Tahoma"/>
            <family val="2"/>
            <charset val="204"/>
          </rPr>
          <t>Серийный № 77793. Изготовлен 29.01.06 г. Контракт о поставке № 272</t>
        </r>
      </text>
    </comment>
    <comment ref="B14" authorId="0" shapeId="0" xr:uid="{B14D039D-922C-4FB3-AE40-1689DEEE01F2}">
      <text>
        <r>
          <rPr>
            <sz val="9"/>
            <color indexed="81"/>
            <rFont val="Tahoma"/>
            <family val="2"/>
            <charset val="204"/>
          </rPr>
          <t>Серийный № 83151. Изготовлен 15.04.06 г. Контракт о поставке № 248</t>
        </r>
      </text>
    </comment>
    <comment ref="B15" authorId="0" shapeId="0" xr:uid="{42E6D102-0508-47B0-ACA9-D62D963A040D}">
      <text>
        <r>
          <rPr>
            <sz val="9"/>
            <color indexed="81"/>
            <rFont val="Tahoma"/>
            <family val="2"/>
            <charset val="204"/>
          </rPr>
          <t>Серийный № 10990. Изготовлен 10.06.05 г. Контракт о поставке № 843</t>
        </r>
      </text>
    </comment>
    <comment ref="B16" authorId="0" shapeId="0" xr:uid="{B145EBB6-B1B6-47A1-8EB5-11FA980D27F4}">
      <text>
        <r>
          <rPr>
            <sz val="9"/>
            <color indexed="81"/>
            <rFont val="Tahoma"/>
            <family val="2"/>
            <charset val="204"/>
          </rPr>
          <t>Серийный № 93160. Изготовлен 19.12.05 г. Контракт о поставке № 532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KonDI</author>
  </authors>
  <commentList>
    <comment ref="B2" authorId="0" shapeId="0" xr:uid="{E5333D70-1F89-4874-8B80-FC5B1E30F877}">
      <text>
        <r>
          <rPr>
            <sz val="9"/>
            <color indexed="81"/>
            <rFont val="Tahoma"/>
            <family val="2"/>
            <charset val="204"/>
          </rPr>
          <t>Серийный № 65950. Изготовлен 12.03.06 г. Контракт о поставке № 936</t>
        </r>
      </text>
    </comment>
    <comment ref="B3" authorId="0" shapeId="0" xr:uid="{5D003F07-DB91-4E05-90C5-1C06F07B991A}">
      <text>
        <r>
          <rPr>
            <sz val="9"/>
            <color indexed="81"/>
            <rFont val="Tahoma"/>
            <family val="2"/>
            <charset val="204"/>
          </rPr>
          <t>Серийный № 16250. Изготовлен 14.12.05 г. Контракт о поставке № 417</t>
        </r>
      </text>
    </comment>
    <comment ref="B4" authorId="0" shapeId="0" xr:uid="{FC1C4418-6932-4EB6-BF47-D90FC3211F7F}">
      <text>
        <r>
          <rPr>
            <sz val="9"/>
            <color indexed="81"/>
            <rFont val="Tahoma"/>
            <family val="2"/>
            <charset val="204"/>
          </rPr>
          <t>Серийный № 50402. Изготовлен 17.11.05 г. Контракт о поставке № 852</t>
        </r>
      </text>
    </comment>
    <comment ref="B5" authorId="0" shapeId="0" xr:uid="{7D0A585C-55F2-466F-A2BD-E5C2B7905AFA}">
      <text>
        <r>
          <rPr>
            <sz val="9"/>
            <color indexed="81"/>
            <rFont val="Tahoma"/>
            <family val="2"/>
            <charset val="204"/>
          </rPr>
          <t>Серийный № 34763. Изготовлен 10.10.05 г. Контракт о поставке № 378</t>
        </r>
      </text>
    </comment>
    <comment ref="B6" authorId="0" shapeId="0" xr:uid="{EE1C1D3B-838B-49A1-B679-6AFFA4DE9930}">
      <text>
        <r>
          <rPr>
            <sz val="9"/>
            <color indexed="81"/>
            <rFont val="Tahoma"/>
            <family val="2"/>
            <charset val="204"/>
          </rPr>
          <t xml:space="preserve"> Серийный № 98738. Изготовлен 03.02.06 г. Контракт о поставке № 413</t>
        </r>
      </text>
    </comment>
    <comment ref="B7" authorId="0" shapeId="0" xr:uid="{45E8AD50-F123-4BF7-9BBE-9E6B088304AE}">
      <text>
        <r>
          <rPr>
            <sz val="9"/>
            <color indexed="81"/>
            <rFont val="Tahoma"/>
            <family val="2"/>
            <charset val="204"/>
          </rPr>
          <t>Серийный № 45295. Изготовлен 23.01.06 г. Контракт о поставке № 795</t>
        </r>
      </text>
    </comment>
    <comment ref="B8" authorId="0" shapeId="0" xr:uid="{B1C8E9F0-8DD5-4823-B53A-4EDE968A7593}">
      <text>
        <r>
          <rPr>
            <sz val="9"/>
            <color indexed="81"/>
            <rFont val="Tahoma"/>
            <family val="2"/>
            <charset val="204"/>
          </rPr>
          <t>Серийный № 32794. Изготовлен 17.12.05 г. Контракт о поставке № 156</t>
        </r>
      </text>
    </comment>
    <comment ref="B9" authorId="0" shapeId="0" xr:uid="{F35DE45F-EAD1-4E46-A737-562D3A76F843}">
      <text>
        <r>
          <rPr>
            <sz val="9"/>
            <color indexed="81"/>
            <rFont val="Tahoma"/>
            <family val="2"/>
            <charset val="204"/>
          </rPr>
          <t>Серийный № 28277. Изготовлен 06.12.05 г. Контракт о поставке № 576</t>
        </r>
      </text>
    </comment>
    <comment ref="B10" authorId="0" shapeId="0" xr:uid="{C8C7F548-A7BA-4C2B-AD7E-BB40654855A2}">
      <text>
        <r>
          <rPr>
            <sz val="9"/>
            <color indexed="81"/>
            <rFont val="Tahoma"/>
            <family val="2"/>
            <charset val="204"/>
          </rPr>
          <t>Серийный № 92176. Изготовлен 03.06.06 г. Контракт о поставке № 377</t>
        </r>
      </text>
    </comment>
    <comment ref="B11" authorId="0" shapeId="0" xr:uid="{52C40089-1014-4AD4-AD50-C849918A4101}">
      <text>
        <r>
          <rPr>
            <sz val="9"/>
            <color indexed="81"/>
            <rFont val="Tahoma"/>
            <family val="2"/>
            <charset val="204"/>
          </rPr>
          <t>Серийный № 61851. Изготовлен 15.10.05 г. Контракт о поставке № 194</t>
        </r>
      </text>
    </comment>
    <comment ref="B12" authorId="0" shapeId="0" xr:uid="{F348E039-0F8D-4426-AEAA-68CCE336DBB6}">
      <text>
        <r>
          <rPr>
            <sz val="9"/>
            <color indexed="81"/>
            <rFont val="Tahoma"/>
            <family val="2"/>
            <charset val="204"/>
          </rPr>
          <t>Серийный № 60239. Изготовлен 11.07.05 г. Контракт о поставке № 764</t>
        </r>
      </text>
    </comment>
    <comment ref="B13" authorId="0" shapeId="0" xr:uid="{A853C85D-8237-44AD-A8A6-24A4D67D2050}">
      <text>
        <r>
          <rPr>
            <sz val="9"/>
            <color indexed="81"/>
            <rFont val="Tahoma"/>
            <family val="2"/>
            <charset val="204"/>
          </rPr>
          <t>Серийный № 77793. Изготовлен 29.01.06 г. Контракт о поставке № 272</t>
        </r>
      </text>
    </comment>
    <comment ref="B14" authorId="0" shapeId="0" xr:uid="{BBE27C0F-3A14-44DE-A7EB-6C61332ABBF4}">
      <text>
        <r>
          <rPr>
            <sz val="9"/>
            <color indexed="81"/>
            <rFont val="Tahoma"/>
            <family val="2"/>
            <charset val="204"/>
          </rPr>
          <t>Серийный № 83151. Изготовлен 15.04.06 г. Контракт о поставке № 248</t>
        </r>
      </text>
    </comment>
    <comment ref="B15" authorId="0" shapeId="0" xr:uid="{77AE689B-E932-4259-8FC3-F6E9F19DDE5D}">
      <text>
        <r>
          <rPr>
            <sz val="9"/>
            <color indexed="81"/>
            <rFont val="Tahoma"/>
            <family val="2"/>
            <charset val="204"/>
          </rPr>
          <t>Серийный № 10990. Изготовлен 10.06.05 г. Контракт о поставке № 843</t>
        </r>
      </text>
    </comment>
    <comment ref="B16" authorId="0" shapeId="0" xr:uid="{2EE79A19-A0D1-4E33-88EF-0766914B3CAE}">
      <text>
        <r>
          <rPr>
            <sz val="9"/>
            <color indexed="81"/>
            <rFont val="Tahoma"/>
            <family val="2"/>
            <charset val="204"/>
          </rPr>
          <t>Серийный № 93160. Изготовлен 19.12.05 г. Контракт о поставке № 532</t>
        </r>
      </text>
    </comment>
  </commentList>
</comments>
</file>

<file path=xl/sharedStrings.xml><?xml version="1.0" encoding="utf-8"?>
<sst xmlns="http://schemas.openxmlformats.org/spreadsheetml/2006/main" count="138" uniqueCount="52">
  <si>
    <t>Название товара</t>
  </si>
  <si>
    <t>Код</t>
  </si>
  <si>
    <t>Страна-поставщик</t>
  </si>
  <si>
    <t>Дата поставки</t>
  </si>
  <si>
    <t>Кол-во</t>
  </si>
  <si>
    <t>Ед. измерения</t>
  </si>
  <si>
    <t>Цена в валюте</t>
  </si>
  <si>
    <t>Курс валюты</t>
  </si>
  <si>
    <t>Цена в рублях</t>
  </si>
  <si>
    <t>Холодильник</t>
  </si>
  <si>
    <t>Пылесос</t>
  </si>
  <si>
    <t>Телевизор</t>
  </si>
  <si>
    <t>Ковер</t>
  </si>
  <si>
    <t>Диван</t>
  </si>
  <si>
    <t>Ткань</t>
  </si>
  <si>
    <t>Телефон</t>
  </si>
  <si>
    <t>Люстра</t>
  </si>
  <si>
    <t>Весы</t>
  </si>
  <si>
    <t>Посудомойка</t>
  </si>
  <si>
    <t>Наушники</t>
  </si>
  <si>
    <t>Фен</t>
  </si>
  <si>
    <t>Монитор</t>
  </si>
  <si>
    <t>Гитара</t>
  </si>
  <si>
    <t>Книга</t>
  </si>
  <si>
    <t>Х34</t>
  </si>
  <si>
    <t>П47</t>
  </si>
  <si>
    <t>Т12</t>
  </si>
  <si>
    <t>К42</t>
  </si>
  <si>
    <t>Д26</t>
  </si>
  <si>
    <t>Т18</t>
  </si>
  <si>
    <t>Т78</t>
  </si>
  <si>
    <t>Л14</t>
  </si>
  <si>
    <t>В34</t>
  </si>
  <si>
    <t>П51</t>
  </si>
  <si>
    <t>Н14</t>
  </si>
  <si>
    <t>Ф22</t>
  </si>
  <si>
    <t>М20</t>
  </si>
  <si>
    <t>Г11</t>
  </si>
  <si>
    <t>К67</t>
  </si>
  <si>
    <t>Бельгия</t>
  </si>
  <si>
    <t>Италия</t>
  </si>
  <si>
    <t>Англия</t>
  </si>
  <si>
    <t>Турция</t>
  </si>
  <si>
    <t>Венгрия</t>
  </si>
  <si>
    <t>Германия</t>
  </si>
  <si>
    <t>Чехия</t>
  </si>
  <si>
    <t>Швеция</t>
  </si>
  <si>
    <t>Франция</t>
  </si>
  <si>
    <t>Китай</t>
  </si>
  <si>
    <t>Америка</t>
  </si>
  <si>
    <t>шт.</t>
  </si>
  <si>
    <t>метр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</si>
</sst>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₽&quot;;[Red]\-#,##0.00\ &quot;₽&quot;"/>
    <numFmt numFmtId="164" formatCode="_-[$€-2]\ * #,##0.00_-;\-[$€-2]\ * #,##0.00_-;_-[$€-2]\ * &quot;-&quot;??_-;_-@_-"/>
    <numFmt numFmtId="165" formatCode="_-[$£-809]* #,##0.00_-;\-[$£-809]* #,##0.00_-;_-[$£-809]* &quot;-&quot;??_-;_-@_-"/>
    <numFmt numFmtId="166" formatCode="_-[$₺-41F]* #,##0.00_-;\-[$₺-41F]* #,##0.00_-;_-[$₺-41F]* &quot;-&quot;??_-;_-@_-"/>
    <numFmt numFmtId="167" formatCode="_-* #,##0.00\ [$Ft-40E]_-;\-* #,##0.00\ [$Ft-40E]_-;_-* &quot;-&quot;??\ [$Ft-40E]_-;_-@_-"/>
    <numFmt numFmtId="168" formatCode="_-* #,##0.00\ [$Kč-405]_-;\-* #,##0.00\ [$Kč-405]_-;_-* &quot;-&quot;??\ [$Kč-405]_-;_-@_-"/>
    <numFmt numFmtId="169" formatCode="_-* #,##0.00\ [$kr-41D]_-;\-* #,##0.00\ [$kr-41D]_-;_-* &quot;-&quot;??\ [$kr-41D]_-;_-@_-"/>
    <numFmt numFmtId="171" formatCode="_ [$¥-804]* #,##0.00_ ;_ [$¥-804]* \-#,##0.00_ ;_ [$¥-804]* &quot;-&quot;??_ ;_ @_ "/>
    <numFmt numFmtId="172" formatCode="_-[$$-409]* #,##0.00_ ;_-[$$-409]* \-#,##0.00\ ;_-[$$-409]* &quot;-&quot;??_ ;_-@_ "/>
    <numFmt numFmtId="173" formatCode="_-* #,##0.00\ [$₽-419]_-;\-* #,##0.00\ [$₽-419]_-;_-* &quot;-&quot;??\ [$₽-419]_-;_-@_-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1" fontId="0" fillId="0" borderId="1" xfId="0" applyNumberFormat="1" applyBorder="1"/>
    <xf numFmtId="172" fontId="0" fillId="0" borderId="1" xfId="0" applyNumberFormat="1" applyBorder="1"/>
    <xf numFmtId="173" fontId="0" fillId="0" borderId="1" xfId="0" applyNumberFormat="1" applyBorder="1"/>
    <xf numFmtId="8" fontId="0" fillId="0" borderId="1" xfId="0" applyNumberFormat="1" applyBorder="1"/>
    <xf numFmtId="0" fontId="2" fillId="0" borderId="1" xfId="0" applyFont="1" applyBorder="1"/>
  </cellXfs>
  <cellStyles count="1">
    <cellStyle name="Обычный" xfId="0" builtinId="0"/>
  </cellStyles>
  <dxfs count="6">
    <dxf>
      <fill>
        <patternFill>
          <bgColor rgb="FF97FF97"/>
        </patternFill>
      </fill>
    </dxf>
    <dxf>
      <fill>
        <patternFill>
          <bgColor rgb="FF9797FF"/>
        </patternFill>
      </fill>
    </dxf>
    <dxf>
      <fill>
        <patternFill>
          <bgColor rgb="FFFF9B9B"/>
        </patternFill>
      </fill>
    </dxf>
    <dxf>
      <fill>
        <patternFill>
          <bgColor rgb="FF97FF97"/>
        </patternFill>
      </fill>
    </dxf>
    <dxf>
      <fill>
        <patternFill>
          <bgColor rgb="FF9797FF"/>
        </patternFill>
      </fill>
    </dxf>
    <dxf>
      <fill>
        <patternFill>
          <bgColor rgb="FFFF9B9B"/>
        </patternFill>
      </fill>
    </dxf>
  </dxfs>
  <tableStyles count="0" defaultTableStyle="TableStyleMedium2" defaultPivotStyle="PivotStyleLight16"/>
  <colors>
    <mruColors>
      <color rgb="FF97FF97"/>
      <color rgb="FF9797FF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5" x14ac:dyDescent="0.25"/>
  <cols>
    <col min="1" max="1" width="18.28515625" bestFit="1" customWidth="1"/>
    <col min="2" max="2" width="5" bestFit="1" customWidth="1"/>
    <col min="3" max="3" width="20.85546875" bestFit="1" customWidth="1"/>
    <col min="4" max="4" width="16.7109375" bestFit="1" customWidth="1"/>
    <col min="5" max="5" width="7.85546875" bestFit="1" customWidth="1"/>
    <col min="6" max="6" width="14.85546875" bestFit="1" customWidth="1"/>
    <col min="7" max="7" width="15.85546875" bestFit="1" customWidth="1"/>
    <col min="8" max="8" width="14.42578125" bestFit="1" customWidth="1"/>
    <col min="9" max="9" width="14.7109375" bestFit="1" customWidth="1"/>
  </cols>
  <sheetData>
    <row r="1" spans="1: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25">
      <c r="A2" s="13" t="s">
        <v>9</v>
      </c>
      <c r="B2" s="1" t="s">
        <v>24</v>
      </c>
      <c r="C2" s="1" t="s">
        <v>39</v>
      </c>
      <c r="D2" s="2">
        <v>38788</v>
      </c>
      <c r="E2" s="1">
        <v>12</v>
      </c>
      <c r="F2" s="1" t="s">
        <v>50</v>
      </c>
      <c r="G2" s="3">
        <v>750</v>
      </c>
      <c r="H2" s="12">
        <v>90.819000000000003</v>
      </c>
      <c r="I2" s="11">
        <f>G2*H2</f>
        <v>68114.25</v>
      </c>
    </row>
    <row r="3" spans="1:9" x14ac:dyDescent="0.25">
      <c r="A3" s="13" t="s">
        <v>10</v>
      </c>
      <c r="B3" s="1" t="s">
        <v>25</v>
      </c>
      <c r="C3" s="1" t="s">
        <v>40</v>
      </c>
      <c r="D3" s="2">
        <v>38700</v>
      </c>
      <c r="E3" s="1">
        <v>32</v>
      </c>
      <c r="F3" s="1" t="s">
        <v>50</v>
      </c>
      <c r="G3" s="3">
        <v>180</v>
      </c>
      <c r="H3" s="12">
        <v>90.819000000000003</v>
      </c>
      <c r="I3" s="11">
        <f t="shared" ref="I3:I16" si="0">G3*H3</f>
        <v>16347.42</v>
      </c>
    </row>
    <row r="4" spans="1:9" x14ac:dyDescent="0.25">
      <c r="A4" s="13" t="s">
        <v>11</v>
      </c>
      <c r="B4" s="1" t="s">
        <v>26</v>
      </c>
      <c r="C4" s="1" t="s">
        <v>41</v>
      </c>
      <c r="D4" s="2">
        <v>38673</v>
      </c>
      <c r="E4" s="1">
        <v>14</v>
      </c>
      <c r="F4" s="1" t="s">
        <v>50</v>
      </c>
      <c r="G4" s="4">
        <v>455</v>
      </c>
      <c r="H4" s="12">
        <v>103.6683</v>
      </c>
      <c r="I4" s="11">
        <f t="shared" si="0"/>
        <v>47169.076500000003</v>
      </c>
    </row>
    <row r="5" spans="1:9" x14ac:dyDescent="0.25">
      <c r="A5" s="13" t="s">
        <v>12</v>
      </c>
      <c r="B5" s="1" t="s">
        <v>27</v>
      </c>
      <c r="C5" s="1" t="s">
        <v>42</v>
      </c>
      <c r="D5" s="2">
        <v>38635</v>
      </c>
      <c r="E5" s="1">
        <v>8</v>
      </c>
      <c r="F5" s="1" t="s">
        <v>50</v>
      </c>
      <c r="G5" s="5">
        <v>250</v>
      </c>
      <c r="H5" s="12">
        <v>1.845</v>
      </c>
      <c r="I5" s="11">
        <f t="shared" si="0"/>
        <v>461.25</v>
      </c>
    </row>
    <row r="6" spans="1:9" x14ac:dyDescent="0.25">
      <c r="A6" s="13" t="s">
        <v>13</v>
      </c>
      <c r="B6" s="1" t="s">
        <v>28</v>
      </c>
      <c r="C6" s="1" t="s">
        <v>43</v>
      </c>
      <c r="D6" s="2">
        <v>38751</v>
      </c>
      <c r="E6" s="1">
        <v>7</v>
      </c>
      <c r="F6" s="1" t="s">
        <v>50</v>
      </c>
      <c r="G6" s="6">
        <v>35000</v>
      </c>
      <c r="H6" s="12">
        <v>0.23730000000000001</v>
      </c>
      <c r="I6" s="11">
        <f t="shared" si="0"/>
        <v>8305.5</v>
      </c>
    </row>
    <row r="7" spans="1:9" x14ac:dyDescent="0.25">
      <c r="A7" s="13" t="s">
        <v>14</v>
      </c>
      <c r="B7" s="1" t="s">
        <v>29</v>
      </c>
      <c r="C7" s="1" t="s">
        <v>41</v>
      </c>
      <c r="D7" s="2">
        <v>38740</v>
      </c>
      <c r="E7" s="1">
        <v>150</v>
      </c>
      <c r="F7" s="1" t="s">
        <v>51</v>
      </c>
      <c r="G7" s="4">
        <v>8</v>
      </c>
      <c r="H7" s="12">
        <v>103.6683</v>
      </c>
      <c r="I7" s="11">
        <f t="shared" si="0"/>
        <v>829.34640000000002</v>
      </c>
    </row>
    <row r="8" spans="1:9" x14ac:dyDescent="0.25">
      <c r="A8" s="13" t="s">
        <v>15</v>
      </c>
      <c r="B8" s="1" t="s">
        <v>30</v>
      </c>
      <c r="C8" s="1" t="s">
        <v>44</v>
      </c>
      <c r="D8" s="2">
        <v>38703</v>
      </c>
      <c r="E8" s="1">
        <v>57</v>
      </c>
      <c r="F8" s="1" t="s">
        <v>50</v>
      </c>
      <c r="G8" s="3">
        <v>100</v>
      </c>
      <c r="H8" s="12">
        <v>90.819000000000003</v>
      </c>
      <c r="I8" s="11">
        <f t="shared" si="0"/>
        <v>9081.9</v>
      </c>
    </row>
    <row r="9" spans="1:9" x14ac:dyDescent="0.25">
      <c r="A9" s="13" t="s">
        <v>16</v>
      </c>
      <c r="B9" s="1" t="s">
        <v>31</v>
      </c>
      <c r="C9" s="1" t="s">
        <v>45</v>
      </c>
      <c r="D9" s="2">
        <v>38692</v>
      </c>
      <c r="E9" s="1">
        <v>38</v>
      </c>
      <c r="F9" s="1" t="s">
        <v>50</v>
      </c>
      <c r="G9" s="7">
        <v>65</v>
      </c>
      <c r="H9" s="12">
        <v>3.7492999999999999</v>
      </c>
      <c r="I9" s="11">
        <f t="shared" si="0"/>
        <v>243.7045</v>
      </c>
    </row>
    <row r="10" spans="1:9" x14ac:dyDescent="0.25">
      <c r="A10" s="13" t="s">
        <v>17</v>
      </c>
      <c r="B10" s="1" t="s">
        <v>32</v>
      </c>
      <c r="C10" s="1" t="s">
        <v>46</v>
      </c>
      <c r="D10" s="2">
        <v>38871</v>
      </c>
      <c r="E10" s="1">
        <v>24</v>
      </c>
      <c r="F10" s="1" t="s">
        <v>50</v>
      </c>
      <c r="G10" s="8">
        <v>20</v>
      </c>
      <c r="H10" s="12">
        <v>8.2437000000000005</v>
      </c>
      <c r="I10" s="11">
        <f t="shared" si="0"/>
        <v>164.87400000000002</v>
      </c>
    </row>
    <row r="11" spans="1:9" x14ac:dyDescent="0.25">
      <c r="A11" s="13" t="s">
        <v>18</v>
      </c>
      <c r="B11" s="1" t="s">
        <v>33</v>
      </c>
      <c r="C11" s="1" t="s">
        <v>44</v>
      </c>
      <c r="D11" s="2">
        <v>38640</v>
      </c>
      <c r="E11" s="1">
        <v>6</v>
      </c>
      <c r="F11" s="1" t="s">
        <v>50</v>
      </c>
      <c r="G11" s="3">
        <v>199</v>
      </c>
      <c r="H11" s="12">
        <v>90.819000000000003</v>
      </c>
      <c r="I11" s="11">
        <f t="shared" si="0"/>
        <v>18072.981</v>
      </c>
    </row>
    <row r="12" spans="1:9" x14ac:dyDescent="0.25">
      <c r="A12" s="13" t="s">
        <v>19</v>
      </c>
      <c r="B12" s="1" t="s">
        <v>34</v>
      </c>
      <c r="C12" s="1" t="s">
        <v>47</v>
      </c>
      <c r="D12" s="2">
        <v>38544</v>
      </c>
      <c r="E12" s="1">
        <v>23</v>
      </c>
      <c r="F12" s="1" t="s">
        <v>50</v>
      </c>
      <c r="G12" s="3">
        <v>70</v>
      </c>
      <c r="H12" s="12">
        <v>90.819000000000003</v>
      </c>
      <c r="I12" s="11">
        <f t="shared" si="0"/>
        <v>6357.33</v>
      </c>
    </row>
    <row r="13" spans="1:9" x14ac:dyDescent="0.25">
      <c r="A13" s="13" t="s">
        <v>20</v>
      </c>
      <c r="B13" s="1" t="s">
        <v>35</v>
      </c>
      <c r="C13" s="1" t="s">
        <v>47</v>
      </c>
      <c r="D13" s="2">
        <v>38746</v>
      </c>
      <c r="E13" s="1">
        <v>40</v>
      </c>
      <c r="F13" s="1" t="s">
        <v>50</v>
      </c>
      <c r="G13" s="3">
        <v>30</v>
      </c>
      <c r="H13" s="12">
        <v>90.819000000000003</v>
      </c>
      <c r="I13" s="11">
        <f t="shared" si="0"/>
        <v>2724.57</v>
      </c>
    </row>
    <row r="14" spans="1:9" x14ac:dyDescent="0.25">
      <c r="A14" s="13" t="s">
        <v>21</v>
      </c>
      <c r="B14" s="1" t="s">
        <v>36</v>
      </c>
      <c r="C14" s="1" t="s">
        <v>48</v>
      </c>
      <c r="D14" s="2">
        <v>38822</v>
      </c>
      <c r="E14" s="1">
        <v>15</v>
      </c>
      <c r="F14" s="1" t="s">
        <v>50</v>
      </c>
      <c r="G14" s="9">
        <v>3000</v>
      </c>
      <c r="H14" s="12">
        <v>11.021100000000001</v>
      </c>
      <c r="I14" s="11">
        <f t="shared" si="0"/>
        <v>33063.300000000003</v>
      </c>
    </row>
    <row r="15" spans="1:9" x14ac:dyDescent="0.25">
      <c r="A15" s="13" t="s">
        <v>22</v>
      </c>
      <c r="B15" s="1" t="s">
        <v>37</v>
      </c>
      <c r="C15" s="1" t="s">
        <v>49</v>
      </c>
      <c r="D15" s="2">
        <v>38513</v>
      </c>
      <c r="E15" s="1">
        <v>3</v>
      </c>
      <c r="F15" s="1" t="s">
        <v>50</v>
      </c>
      <c r="G15" s="10">
        <v>1200</v>
      </c>
      <c r="H15" s="12">
        <v>78.228399999999993</v>
      </c>
      <c r="I15" s="11">
        <f t="shared" si="0"/>
        <v>93874.079999999987</v>
      </c>
    </row>
    <row r="16" spans="1:9" x14ac:dyDescent="0.25">
      <c r="A16" s="13" t="s">
        <v>23</v>
      </c>
      <c r="B16" s="1" t="s">
        <v>38</v>
      </c>
      <c r="C16" s="1" t="s">
        <v>41</v>
      </c>
      <c r="D16" s="2">
        <v>38705</v>
      </c>
      <c r="E16" s="1">
        <v>67</v>
      </c>
      <c r="F16" s="1" t="s">
        <v>50</v>
      </c>
      <c r="G16" s="4">
        <v>1</v>
      </c>
      <c r="H16" s="12">
        <v>103.6683</v>
      </c>
      <c r="I16" s="11">
        <f t="shared" si="0"/>
        <v>103.6683</v>
      </c>
    </row>
  </sheetData>
  <conditionalFormatting sqref="I2:I16">
    <cfRule type="cellIs" dxfId="5" priority="3" operator="lessThanOrEqual">
      <formula>5000</formula>
    </cfRule>
    <cfRule type="cellIs" dxfId="4" priority="2" operator="between">
      <formula>5000</formula>
      <formula>10000</formula>
    </cfRule>
    <cfRule type="cellIs" dxfId="3" priority="1" operator="greaterThanOrEqual">
      <formula>10000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2CFA-FA4C-4D0F-9E7C-A5407771B3F4}">
  <dimension ref="A1:I16"/>
  <sheetViews>
    <sheetView workbookViewId="0">
      <selection activeCell="K14" sqref="K14"/>
    </sheetView>
  </sheetViews>
  <sheetFormatPr defaultRowHeight="15" x14ac:dyDescent="0.25"/>
  <cols>
    <col min="1" max="1" width="18.28515625" bestFit="1" customWidth="1"/>
    <col min="2" max="2" width="5" bestFit="1" customWidth="1"/>
    <col min="3" max="3" width="20.85546875" bestFit="1" customWidth="1"/>
    <col min="4" max="4" width="16.7109375" bestFit="1" customWidth="1"/>
    <col min="5" max="5" width="7.85546875" bestFit="1" customWidth="1"/>
    <col min="6" max="6" width="14.85546875" bestFit="1" customWidth="1"/>
    <col min="7" max="7" width="15.85546875" bestFit="1" customWidth="1"/>
    <col min="8" max="8" width="14.42578125" bestFit="1" customWidth="1"/>
    <col min="9" max="9" width="14.7109375" bestFit="1" customWidth="1"/>
  </cols>
  <sheetData>
    <row r="1" spans="1: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25">
      <c r="A2" s="13" t="s">
        <v>9</v>
      </c>
      <c r="B2" s="1" t="s">
        <v>24</v>
      </c>
      <c r="C2" s="1" t="s">
        <v>39</v>
      </c>
      <c r="D2" s="2">
        <v>38788</v>
      </c>
      <c r="E2" s="1">
        <v>12</v>
      </c>
      <c r="F2" s="1" t="s">
        <v>50</v>
      </c>
      <c r="G2" s="3">
        <v>750</v>
      </c>
      <c r="H2" s="12">
        <v>90.819000000000003</v>
      </c>
      <c r="I2" s="11">
        <f>Курс*Цена</f>
        <v>68114.25</v>
      </c>
    </row>
    <row r="3" spans="1:9" x14ac:dyDescent="0.25">
      <c r="A3" s="13" t="s">
        <v>10</v>
      </c>
      <c r="B3" s="1" t="s">
        <v>25</v>
      </c>
      <c r="C3" s="1" t="s">
        <v>40</v>
      </c>
      <c r="D3" s="2">
        <v>38700</v>
      </c>
      <c r="E3" s="1">
        <v>32</v>
      </c>
      <c r="F3" s="1" t="s">
        <v>50</v>
      </c>
      <c r="G3" s="3">
        <v>180</v>
      </c>
      <c r="H3" s="12">
        <v>90.819000000000003</v>
      </c>
      <c r="I3" s="11">
        <f>Курс*Цена</f>
        <v>16347.42</v>
      </c>
    </row>
    <row r="4" spans="1:9" x14ac:dyDescent="0.25">
      <c r="A4" s="13" t="s">
        <v>11</v>
      </c>
      <c r="B4" s="1" t="s">
        <v>26</v>
      </c>
      <c r="C4" s="1" t="s">
        <v>41</v>
      </c>
      <c r="D4" s="2">
        <v>38673</v>
      </c>
      <c r="E4" s="1">
        <v>14</v>
      </c>
      <c r="F4" s="1" t="s">
        <v>50</v>
      </c>
      <c r="G4" s="4">
        <v>455</v>
      </c>
      <c r="H4" s="12">
        <v>103.6683</v>
      </c>
      <c r="I4" s="11">
        <f>Курс*Цена</f>
        <v>47169.076500000003</v>
      </c>
    </row>
    <row r="5" spans="1:9" x14ac:dyDescent="0.25">
      <c r="A5" s="13" t="s">
        <v>12</v>
      </c>
      <c r="B5" s="1" t="s">
        <v>27</v>
      </c>
      <c r="C5" s="1" t="s">
        <v>42</v>
      </c>
      <c r="D5" s="2">
        <v>38635</v>
      </c>
      <c r="E5" s="1">
        <v>8</v>
      </c>
      <c r="F5" s="1" t="s">
        <v>50</v>
      </c>
      <c r="G5" s="5">
        <v>250</v>
      </c>
      <c r="H5" s="12">
        <v>1.845</v>
      </c>
      <c r="I5" s="11">
        <f>Курс*Цена</f>
        <v>461.25</v>
      </c>
    </row>
    <row r="6" spans="1:9" x14ac:dyDescent="0.25">
      <c r="A6" s="13" t="s">
        <v>13</v>
      </c>
      <c r="B6" s="1" t="s">
        <v>28</v>
      </c>
      <c r="C6" s="1" t="s">
        <v>43</v>
      </c>
      <c r="D6" s="2">
        <v>38751</v>
      </c>
      <c r="E6" s="1">
        <v>7</v>
      </c>
      <c r="F6" s="1" t="s">
        <v>50</v>
      </c>
      <c r="G6" s="6">
        <v>35000</v>
      </c>
      <c r="H6" s="12">
        <v>0.23730000000000001</v>
      </c>
      <c r="I6" s="11">
        <f>Курс*Цена</f>
        <v>8305.5</v>
      </c>
    </row>
    <row r="7" spans="1:9" x14ac:dyDescent="0.25">
      <c r="A7" s="13" t="s">
        <v>14</v>
      </c>
      <c r="B7" s="1" t="s">
        <v>29</v>
      </c>
      <c r="C7" s="1" t="s">
        <v>41</v>
      </c>
      <c r="D7" s="2">
        <v>38740</v>
      </c>
      <c r="E7" s="1">
        <v>150</v>
      </c>
      <c r="F7" s="1" t="s">
        <v>51</v>
      </c>
      <c r="G7" s="4">
        <v>8</v>
      </c>
      <c r="H7" s="12">
        <v>103.6683</v>
      </c>
      <c r="I7" s="11">
        <f>Курс*Цена</f>
        <v>829.34640000000002</v>
      </c>
    </row>
    <row r="8" spans="1:9" x14ac:dyDescent="0.25">
      <c r="A8" s="13" t="s">
        <v>15</v>
      </c>
      <c r="B8" s="1" t="s">
        <v>30</v>
      </c>
      <c r="C8" s="1" t="s">
        <v>44</v>
      </c>
      <c r="D8" s="2">
        <v>38703</v>
      </c>
      <c r="E8" s="1">
        <v>57</v>
      </c>
      <c r="F8" s="1" t="s">
        <v>50</v>
      </c>
      <c r="G8" s="3">
        <v>100</v>
      </c>
      <c r="H8" s="12">
        <v>90.819000000000003</v>
      </c>
      <c r="I8" s="11">
        <f>Курс*Цена</f>
        <v>9081.9</v>
      </c>
    </row>
    <row r="9" spans="1:9" x14ac:dyDescent="0.25">
      <c r="A9" s="13" t="s">
        <v>16</v>
      </c>
      <c r="B9" s="1" t="s">
        <v>31</v>
      </c>
      <c r="C9" s="1" t="s">
        <v>45</v>
      </c>
      <c r="D9" s="2">
        <v>38692</v>
      </c>
      <c r="E9" s="1">
        <v>38</v>
      </c>
      <c r="F9" s="1" t="s">
        <v>50</v>
      </c>
      <c r="G9" s="7">
        <v>65</v>
      </c>
      <c r="H9" s="12">
        <v>3.7492999999999999</v>
      </c>
      <c r="I9" s="11">
        <f>Курс*Цена</f>
        <v>243.7045</v>
      </c>
    </row>
    <row r="10" spans="1:9" x14ac:dyDescent="0.25">
      <c r="A10" s="13" t="s">
        <v>17</v>
      </c>
      <c r="B10" s="1" t="s">
        <v>32</v>
      </c>
      <c r="C10" s="1" t="s">
        <v>46</v>
      </c>
      <c r="D10" s="2">
        <v>38871</v>
      </c>
      <c r="E10" s="1">
        <v>24</v>
      </c>
      <c r="F10" s="1" t="s">
        <v>50</v>
      </c>
      <c r="G10" s="8">
        <v>20</v>
      </c>
      <c r="H10" s="12">
        <v>8.2437000000000005</v>
      </c>
      <c r="I10" s="11">
        <f>Курс*Цена</f>
        <v>164.87400000000002</v>
      </c>
    </row>
    <row r="11" spans="1:9" x14ac:dyDescent="0.25">
      <c r="A11" s="13" t="s">
        <v>18</v>
      </c>
      <c r="B11" s="1" t="s">
        <v>33</v>
      </c>
      <c r="C11" s="1" t="s">
        <v>44</v>
      </c>
      <c r="D11" s="2">
        <v>38640</v>
      </c>
      <c r="E11" s="1">
        <v>6</v>
      </c>
      <c r="F11" s="1" t="s">
        <v>50</v>
      </c>
      <c r="G11" s="3">
        <v>199</v>
      </c>
      <c r="H11" s="12">
        <v>90.819000000000003</v>
      </c>
      <c r="I11" s="11">
        <f>Курс*Цена</f>
        <v>18072.981</v>
      </c>
    </row>
    <row r="12" spans="1:9" x14ac:dyDescent="0.25">
      <c r="A12" s="13" t="s">
        <v>19</v>
      </c>
      <c r="B12" s="1" t="s">
        <v>34</v>
      </c>
      <c r="C12" s="1" t="s">
        <v>47</v>
      </c>
      <c r="D12" s="2">
        <v>38544</v>
      </c>
      <c r="E12" s="1">
        <v>23</v>
      </c>
      <c r="F12" s="1" t="s">
        <v>50</v>
      </c>
      <c r="G12" s="3">
        <v>70</v>
      </c>
      <c r="H12" s="12">
        <v>90.819000000000003</v>
      </c>
      <c r="I12" s="11">
        <f>Курс*Цена</f>
        <v>6357.33</v>
      </c>
    </row>
    <row r="13" spans="1:9" x14ac:dyDescent="0.25">
      <c r="A13" s="13" t="s">
        <v>20</v>
      </c>
      <c r="B13" s="1" t="s">
        <v>35</v>
      </c>
      <c r="C13" s="1" t="s">
        <v>47</v>
      </c>
      <c r="D13" s="2">
        <v>38746</v>
      </c>
      <c r="E13" s="1">
        <v>40</v>
      </c>
      <c r="F13" s="1" t="s">
        <v>50</v>
      </c>
      <c r="G13" s="3">
        <v>30</v>
      </c>
      <c r="H13" s="12">
        <v>90.819000000000003</v>
      </c>
      <c r="I13" s="11">
        <f>Курс*Цена</f>
        <v>2724.57</v>
      </c>
    </row>
    <row r="14" spans="1:9" x14ac:dyDescent="0.25">
      <c r="A14" s="13" t="s">
        <v>21</v>
      </c>
      <c r="B14" s="1" t="s">
        <v>36</v>
      </c>
      <c r="C14" s="1" t="s">
        <v>48</v>
      </c>
      <c r="D14" s="2">
        <v>38822</v>
      </c>
      <c r="E14" s="1">
        <v>15</v>
      </c>
      <c r="F14" s="1" t="s">
        <v>50</v>
      </c>
      <c r="G14" s="9">
        <v>3000</v>
      </c>
      <c r="H14" s="12">
        <v>11.021100000000001</v>
      </c>
      <c r="I14" s="11">
        <f>Курс*Цена</f>
        <v>33063.300000000003</v>
      </c>
    </row>
    <row r="15" spans="1:9" x14ac:dyDescent="0.25">
      <c r="A15" s="13" t="s">
        <v>22</v>
      </c>
      <c r="B15" s="1" t="s">
        <v>37</v>
      </c>
      <c r="C15" s="1" t="s">
        <v>49</v>
      </c>
      <c r="D15" s="2">
        <v>38513</v>
      </c>
      <c r="E15" s="1">
        <v>3</v>
      </c>
      <c r="F15" s="1" t="s">
        <v>50</v>
      </c>
      <c r="G15" s="10">
        <v>1200</v>
      </c>
      <c r="H15" s="12">
        <v>78.228399999999993</v>
      </c>
      <c r="I15" s="11">
        <f>Курс*Цена</f>
        <v>93874.079999999987</v>
      </c>
    </row>
    <row r="16" spans="1:9" x14ac:dyDescent="0.25">
      <c r="A16" s="13" t="s">
        <v>23</v>
      </c>
      <c r="B16" s="1" t="s">
        <v>38</v>
      </c>
      <c r="C16" s="1" t="s">
        <v>41</v>
      </c>
      <c r="D16" s="2">
        <v>38705</v>
      </c>
      <c r="E16" s="1">
        <v>67</v>
      </c>
      <c r="F16" s="1" t="s">
        <v>50</v>
      </c>
      <c r="G16" s="4">
        <v>1</v>
      </c>
      <c r="H16" s="12">
        <v>103.6683</v>
      </c>
      <c r="I16" s="11">
        <f>Курс*Цена</f>
        <v>103.6683</v>
      </c>
    </row>
  </sheetData>
  <conditionalFormatting sqref="I2:I16">
    <cfRule type="cellIs" dxfId="0" priority="1" operator="greaterThanOrEqual">
      <formula>10000</formula>
    </cfRule>
    <cfRule type="cellIs" dxfId="1" priority="2" operator="between">
      <formula>5000</formula>
      <formula>10000</formula>
    </cfRule>
    <cfRule type="cellIs" dxfId="2" priority="3" operator="lessThanOrEqual">
      <formula>5000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Цены</vt:lpstr>
      <vt:lpstr>Продажи_2</vt:lpstr>
      <vt:lpstr>Продажи_2!Курс</vt:lpstr>
      <vt:lpstr>Продажи_2!Цена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KonDI</dc:creator>
  <cp:lastModifiedBy>Савкин Никита</cp:lastModifiedBy>
  <dcterms:created xsi:type="dcterms:W3CDTF">2015-06-05T18:17:20Z</dcterms:created>
  <dcterms:modified xsi:type="dcterms:W3CDTF">2025-11-30T18:36:21Z</dcterms:modified>
</cp:coreProperties>
</file>