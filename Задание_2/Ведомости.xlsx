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s/Projects/excel/volsu-emm/Задание_2/"/>
    </mc:Choice>
  </mc:AlternateContent>
  <xr:revisionPtr revIDLastSave="0" documentId="13_ncr:1_{38B6EC06-5168-3E40-9672-71D52B4B3B8C}" xr6:coauthVersionLast="47" xr6:coauthVersionMax="47" xr10:uidLastSave="{00000000-0000-0000-0000-000000000000}"/>
  <bookViews>
    <workbookView xWindow="0" yWindow="500" windowWidth="28800" windowHeight="16120" xr2:uid="{0C7F0FC7-A974-4E4B-BFB7-605895FB8E58}"/>
  </bookViews>
  <sheets>
    <sheet name="Ведомость переоценки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D13" i="1"/>
  <c r="E13" i="1"/>
  <c r="F13" i="1"/>
  <c r="G13" i="1"/>
  <c r="G6" i="1"/>
  <c r="G7" i="1"/>
  <c r="G8" i="1"/>
  <c r="G9" i="1"/>
  <c r="G10" i="1"/>
  <c r="G11" i="1"/>
  <c r="G12" i="1"/>
  <c r="F12" i="1"/>
  <c r="G5" i="1"/>
  <c r="B13" i="1"/>
  <c r="D6" i="1"/>
  <c r="D7" i="1"/>
  <c r="D8" i="1"/>
  <c r="D9" i="1"/>
  <c r="D10" i="1"/>
  <c r="D11" i="1"/>
  <c r="D12" i="1"/>
  <c r="D5" i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E5" i="1"/>
  <c r="F5" i="1" s="1"/>
</calcChain>
</file>

<file path=xl/sharedStrings.xml><?xml version="1.0" encoding="utf-8"?>
<sst xmlns="http://schemas.openxmlformats.org/spreadsheetml/2006/main" count="17" uniqueCount="17">
  <si>
    <t>ВЕДОМОСТЬ ПЕРЕОЦЕНКИ ОСНОВНЫХ СРЕДСТВ ПРОИЗВОДСТВА</t>
  </si>
  <si>
    <t>Наименование объекта</t>
  </si>
  <si>
    <t>Балансовая стоимость (БС), млн.руб.</t>
  </si>
  <si>
    <t>Износ объекта (ИО), млн.руб.</t>
  </si>
  <si>
    <t>Остаточная стоимость (ОС), млн.руб.</t>
  </si>
  <si>
    <t>k</t>
  </si>
  <si>
    <t>Восстановительная полная стоимость (ВПС), млн.руб.</t>
  </si>
  <si>
    <t>Восстановительная остаточная стоимость (ВОС), млн.руб.</t>
  </si>
  <si>
    <t>Отдел менеджмента и маркетинга</t>
  </si>
  <si>
    <t>Отдел транспортировок</t>
  </si>
  <si>
    <t>Сборочный цех</t>
  </si>
  <si>
    <t>Отделочный цех</t>
  </si>
  <si>
    <t>Склад №1</t>
  </si>
  <si>
    <t>Склад №2</t>
  </si>
  <si>
    <t>Склад №3</t>
  </si>
  <si>
    <t>Склад №4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</si>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</sst>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4" x14ac:knownFonts="1"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171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right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D56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Оценка</a:t>
            </a:r>
            <a:r>
              <a:rPr lang="ru-RU" baseline="0"/>
              <a:t> основных средств производства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'Ведомость переоценки'!$B$4</c:f>
              <c:strCache>
                <c:ptCount val="1"/>
                <c:pt idx="0">
                  <c:v>Балансовая стоимость (БС), млн.руб.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'Ведомость переоценки'!$A$7:$A$12</c:f>
              <c:strCache>
                <c:ptCount val="6"/>
                <c:pt idx="0">
                  <c:v>Сборочный цех</c:v>
                </c:pt>
                <c:pt idx="1">
                  <c:v>Отделочный цех</c:v>
                </c:pt>
                <c:pt idx="2">
                  <c:v>Склад №1</c:v>
                </c:pt>
                <c:pt idx="3">
                  <c:v>Склад №2</c:v>
                </c:pt>
                <c:pt idx="4">
                  <c:v>Склад №3</c:v>
                </c:pt>
                <c:pt idx="5">
                  <c:v>Склад №4</c:v>
                </c:pt>
              </c:strCache>
            </c:strRef>
          </c:cat>
          <c:val>
            <c:numRef>
              <c:f>'Ведомость переоценки'!$B$7:$B$12</c:f>
              <c:numCache>
                <c:formatCode>0.0</c:formatCode>
                <c:ptCount val="6"/>
                <c:pt idx="0">
                  <c:v>673</c:v>
                </c:pt>
                <c:pt idx="1">
                  <c:v>821.6</c:v>
                </c:pt>
                <c:pt idx="2">
                  <c:v>598.4</c:v>
                </c:pt>
                <c:pt idx="3">
                  <c:v>610</c:v>
                </c:pt>
                <c:pt idx="4">
                  <c:v>756.3</c:v>
                </c:pt>
                <c:pt idx="5">
                  <c:v>614.29999999999995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D-7E43-8BE6-013C8F3DB1D4}"/>
            </c:ext>
          </c:extLst>
        </c:ser>
        <c:ser>
          <c:idx val="1"/>
          <c:order val="1"/>
          <c:tx>
            <c:strRef>
              <c:f>'Ведомость переоценки'!$C$4</c:f>
              <c:strCache>
                <c:ptCount val="1"/>
                <c:pt idx="0">
                  <c:v>Износ объекта (ИО), млн.руб.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'Ведомость переоценки'!$A$7:$A$12</c:f>
              <c:strCache>
                <c:ptCount val="6"/>
                <c:pt idx="0">
                  <c:v>Сборочный цех</c:v>
                </c:pt>
                <c:pt idx="1">
                  <c:v>Отделочный цех</c:v>
                </c:pt>
                <c:pt idx="2">
                  <c:v>Склад №1</c:v>
                </c:pt>
                <c:pt idx="3">
                  <c:v>Склад №2</c:v>
                </c:pt>
                <c:pt idx="4">
                  <c:v>Склад №3</c:v>
                </c:pt>
                <c:pt idx="5">
                  <c:v>Склад №4</c:v>
                </c:pt>
              </c:strCache>
            </c:strRef>
          </c:cat>
          <c:val>
            <c:numRef>
              <c:f>'Ведомость переоценки'!$C$7:$C$12</c:f>
              <c:numCache>
                <c:formatCode>0.0</c:formatCode>
                <c:ptCount val="6"/>
                <c:pt idx="0">
                  <c:v>198.9</c:v>
                </c:pt>
                <c:pt idx="1">
                  <c:v>401.2</c:v>
                </c:pt>
                <c:pt idx="2">
                  <c:v>131.5</c:v>
                </c:pt>
                <c:pt idx="3">
                  <c:v>345.6</c:v>
                </c:pt>
                <c:pt idx="4">
                  <c:v>159.6</c:v>
                </c:pt>
                <c:pt idx="5">
                  <c:v>148.69999999999999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D-7E43-8BE6-013C8F3DB1D4}"/>
            </c:ext>
          </c:extLst>
        </c:ser>
        <c:ser>
          <c:idx val="2"/>
          <c:order val="2"/>
          <c:tx>
            <c:strRef>
              <c:f>'Ведомость переоценки'!$D$4</c:f>
              <c:strCache>
                <c:ptCount val="1"/>
                <c:pt idx="0">
                  <c:v>Остаточная стоимость (ОС), млн.руб.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'Ведомость переоценки'!$A$7:$A$12</c:f>
              <c:strCache>
                <c:ptCount val="6"/>
                <c:pt idx="0">
                  <c:v>Сборочный цех</c:v>
                </c:pt>
                <c:pt idx="1">
                  <c:v>Отделочный цех</c:v>
                </c:pt>
                <c:pt idx="2">
                  <c:v>Склад №1</c:v>
                </c:pt>
                <c:pt idx="3">
                  <c:v>Склад №2</c:v>
                </c:pt>
                <c:pt idx="4">
                  <c:v>Склад №3</c:v>
                </c:pt>
                <c:pt idx="5">
                  <c:v>Склад №4</c:v>
                </c:pt>
              </c:strCache>
            </c:strRef>
          </c:cat>
          <c:val>
            <c:numRef>
              <c:f>'Ведомость переоценки'!$D$7:$D$12</c:f>
              <c:numCache>
                <c:formatCode>0.0</c:formatCode>
                <c:ptCount val="6"/>
                <c:pt idx="0">
                  <c:v>474.1</c:v>
                </c:pt>
                <c:pt idx="1">
                  <c:v>420.40000000000003</c:v>
                </c:pt>
                <c:pt idx="2">
                  <c:v>466.9</c:v>
                </c:pt>
                <c:pt idx="3">
                  <c:v>264.39999999999998</c:v>
                </c:pt>
                <c:pt idx="4">
                  <c:v>596.69999999999993</c:v>
                </c:pt>
                <c:pt idx="5">
                  <c:v>465.59999999999997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1D-7E43-8BE6-013C8F3DB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13535840"/>
        <c:axId val="1413537840"/>
      </c:barChart>
      <c:catAx>
        <c:axId val="1413535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3537840"/>
        <c:crosses val="autoZero"/>
        <c:auto val="1"/>
        <c:lblAlgn val="ctr"/>
        <c:lblOffset val="100"/>
        <c:noMultiLvlLbl val="0"/>
      </c:catAx>
      <c:valAx>
        <c:axId val="14135378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353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160446</xdr:colOff>
      <xdr:row>3</xdr:row>
      <xdr:rowOff>107024</xdr:rowOff>
    </xdr:from>
    <xdr:to>
      <xdr:col>14</xdr:col>
      <xdr:colOff>749299</xdr:colOff>
      <xdr:row>16</xdr:row>
      <xdr:rowOff>96753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0AC8CC6-B381-AC85-D8D4-F2891CD4B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50D9-AFE3-0D44-9F04-EE237A693DFB}">
  <dimension ref="A1:G13"/>
  <sheetViews>
    <sheetView tabSelected="1" workbookViewId="0">
      <selection activeCell="G14" sqref="G14"/>
    </sheetView>
  </sheetViews>
  <sheetFormatPr baseColWidth="10" defaultRowHeight="16" x14ac:dyDescent="0.2"/>
  <cols>
    <col min="1" max="7" width="20" customWidth="1"/>
  </cols>
  <sheetData>
    <row r="1" spans="1:7" x14ac:dyDescent="0.2">
      <c r="A1" s="1" t="s">
        <v>0</v>
      </c>
      <c r="B1" s="1"/>
      <c r="C1" s="1"/>
      <c r="D1" s="1"/>
      <c r="E1" s="1"/>
      <c r="F1" s="1"/>
      <c r="G1" s="1"/>
    </row>
    <row r="2" spans="1:7" x14ac:dyDescent="0.2">
      <c r="A2" s="1"/>
      <c r="B2" s="1"/>
      <c r="C2" s="1"/>
      <c r="D2" s="1"/>
      <c r="E2" s="1"/>
      <c r="F2" s="1"/>
      <c r="G2" s="1"/>
    </row>
    <row r="4" spans="1:7" ht="68" x14ac:dyDescent="0.2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ht="34" x14ac:dyDescent="0.2">
      <c r="A5" s="3" t="s">
        <v>8</v>
      </c>
      <c r="B5" s="4">
        <v>19087.8</v>
      </c>
      <c r="C5" s="4">
        <v>568.79999999999995</v>
      </c>
      <c r="D5" s="4">
        <f>B5-C5</f>
        <v>18519</v>
      </c>
      <c r="E5" s="4">
        <f>IF(B5&lt;=700,3.3,IF(700&lt;B5&lt;1000,4.2,5.1))</f>
        <v>5.0999999999999996</v>
      </c>
      <c r="F5" s="4">
        <f>B5*E5</f>
        <v>97347.779999999984</v>
      </c>
      <c r="G5" s="4">
        <f>D5*E5</f>
        <v>94446.9</v>
      </c>
    </row>
    <row r="6" spans="1:7" ht="34" x14ac:dyDescent="0.2">
      <c r="A6" s="3" t="s">
        <v>9</v>
      </c>
      <c r="B6" s="4">
        <v>407.2</v>
      </c>
      <c r="C6" s="4">
        <v>203.1</v>
      </c>
      <c r="D6" s="4">
        <f t="shared" ref="D6:D12" si="0">B6-C6</f>
        <v>204.1</v>
      </c>
      <c r="E6" s="4">
        <f t="shared" ref="E6:E12" si="1">IF(B6&lt;=700,3.3,IF(700&lt;B6&lt;1000,4.2,5.1))</f>
        <v>3.3</v>
      </c>
      <c r="F6" s="4">
        <f t="shared" ref="F6:F12" si="2">B6*E6</f>
        <v>1343.76</v>
      </c>
      <c r="G6" s="4">
        <f t="shared" ref="G6:G12" si="3">D6*E6</f>
        <v>673.53</v>
      </c>
    </row>
    <row r="7" spans="1:7" ht="17" x14ac:dyDescent="0.2">
      <c r="A7" s="3" t="s">
        <v>10</v>
      </c>
      <c r="B7" s="4">
        <v>673</v>
      </c>
      <c r="C7" s="4">
        <v>198.9</v>
      </c>
      <c r="D7" s="4">
        <f t="shared" si="0"/>
        <v>474.1</v>
      </c>
      <c r="E7" s="4">
        <f t="shared" si="1"/>
        <v>3.3</v>
      </c>
      <c r="F7" s="4">
        <f t="shared" si="2"/>
        <v>2220.9</v>
      </c>
      <c r="G7" s="4">
        <f t="shared" si="3"/>
        <v>1564.53</v>
      </c>
    </row>
    <row r="8" spans="1:7" ht="17" x14ac:dyDescent="0.2">
      <c r="A8" s="3" t="s">
        <v>11</v>
      </c>
      <c r="B8" s="4">
        <v>821.6</v>
      </c>
      <c r="C8" s="4">
        <v>401.2</v>
      </c>
      <c r="D8" s="4">
        <f t="shared" si="0"/>
        <v>420.40000000000003</v>
      </c>
      <c r="E8" s="4">
        <f t="shared" si="1"/>
        <v>5.0999999999999996</v>
      </c>
      <c r="F8" s="4">
        <f t="shared" si="2"/>
        <v>4190.16</v>
      </c>
      <c r="G8" s="4">
        <f t="shared" si="3"/>
        <v>2144.04</v>
      </c>
    </row>
    <row r="9" spans="1:7" ht="17" x14ac:dyDescent="0.2">
      <c r="A9" s="3" t="s">
        <v>12</v>
      </c>
      <c r="B9" s="4">
        <v>598.4</v>
      </c>
      <c r="C9" s="4">
        <v>131.5</v>
      </c>
      <c r="D9" s="4">
        <f t="shared" si="0"/>
        <v>466.9</v>
      </c>
      <c r="E9" s="4">
        <f t="shared" si="1"/>
        <v>3.3</v>
      </c>
      <c r="F9" s="4">
        <f t="shared" si="2"/>
        <v>1974.7199999999998</v>
      </c>
      <c r="G9" s="4">
        <f t="shared" si="3"/>
        <v>1540.7699999999998</v>
      </c>
    </row>
    <row r="10" spans="1:7" ht="17" x14ac:dyDescent="0.2">
      <c r="A10" s="3" t="s">
        <v>13</v>
      </c>
      <c r="B10" s="4">
        <v>610</v>
      </c>
      <c r="C10" s="4">
        <v>345.6</v>
      </c>
      <c r="D10" s="4">
        <f t="shared" si="0"/>
        <v>264.39999999999998</v>
      </c>
      <c r="E10" s="4">
        <f t="shared" si="1"/>
        <v>3.3</v>
      </c>
      <c r="F10" s="4">
        <f t="shared" si="2"/>
        <v>2013</v>
      </c>
      <c r="G10" s="4">
        <f t="shared" si="3"/>
        <v>872.51999999999987</v>
      </c>
    </row>
    <row r="11" spans="1:7" ht="17" x14ac:dyDescent="0.2">
      <c r="A11" s="3" t="s">
        <v>14</v>
      </c>
      <c r="B11" s="4">
        <v>756.3</v>
      </c>
      <c r="C11" s="4">
        <v>159.6</v>
      </c>
      <c r="D11" s="4">
        <f t="shared" si="0"/>
        <v>596.69999999999993</v>
      </c>
      <c r="E11" s="4">
        <f t="shared" si="1"/>
        <v>5.0999999999999996</v>
      </c>
      <c r="F11" s="4">
        <f t="shared" si="2"/>
        <v>3857.1299999999997</v>
      </c>
      <c r="G11" s="4">
        <f t="shared" si="3"/>
        <v>3043.1699999999996</v>
      </c>
    </row>
    <row r="12" spans="1:7" ht="17" x14ac:dyDescent="0.2">
      <c r="A12" s="3" t="s">
        <v>15</v>
      </c>
      <c r="B12" s="4">
        <v>614.29999999999995</v>
      </c>
      <c r="C12" s="4">
        <v>148.69999999999999</v>
      </c>
      <c r="D12" s="4">
        <f t="shared" si="0"/>
        <v>465.59999999999997</v>
      </c>
      <c r="E12" s="4">
        <f t="shared" si="1"/>
        <v>3.3</v>
      </c>
      <c r="F12" s="4">
        <f t="shared" si="2"/>
        <v>2027.1899999999998</v>
      </c>
      <c r="G12" s="4">
        <f t="shared" si="3"/>
        <v>1536.4799999999998</v>
      </c>
    </row>
    <row r="13" spans="1:7" ht="17" x14ac:dyDescent="0.2">
      <c r="A13" s="5" t="s">
        <v>16</v>
      </c>
      <c r="B13" s="6">
        <f>SUM(B5:B12)</f>
        <v>23568.6</v>
      </c>
      <c r="C13" s="6">
        <f t="shared" ref="C13:G13" si="4">SUM(C5:C12)</f>
        <v>2157.3999999999996</v>
      </c>
      <c r="D13" s="6">
        <f t="shared" si="4"/>
        <v>21411.200000000001</v>
      </c>
      <c r="E13" s="6">
        <f t="shared" si="4"/>
        <v>31.8</v>
      </c>
      <c r="F13" s="6">
        <f t="shared" si="4"/>
        <v>114974.63999999998</v>
      </c>
      <c r="G13" s="6">
        <f t="shared" si="4"/>
        <v>105821.93999999999</v>
      </c>
    </row>
  </sheetData>
  <mergeCells count="1">
    <mergeCell ref="A1:G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Ведомость переоценки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Савкин Никита</dc:creator>
  <cp:lastModifiedBy>Савкин Никита</cp:lastModifiedBy>
  <dcterms:created xsi:type="dcterms:W3CDTF">2025-11-30T10:48:08Z</dcterms:created>
  <dcterms:modified xsi:type="dcterms:W3CDTF">2025-11-30T11:27:58Z</dcterms:modified>
</cp:coreProperties>
</file>