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nDI\projects\excel\volsu-emm\Задание_2\"/>
    </mc:Choice>
  </mc:AlternateContent>
  <xr:revisionPtr revIDLastSave="0" documentId="13_ncr:1_{4FCF31EC-861B-4A67-8FD1-B1F29C8DB8B6}" xr6:coauthVersionLast="47" xr6:coauthVersionMax="47" xr10:uidLastSave="{00000000-0000-0000-0000-000000000000}"/>
  <bookViews>
    <workbookView xWindow="-120" yWindow="-120" windowWidth="29040" windowHeight="15840" xr2:uid="{0C7F0FC7-A974-4E4B-BFB7-605895FB8E58}"/>
  </bookViews>
  <sheets>
    <sheet name="Ведомость переоценки" sheetId="1" r:id="rId1"/>
    <sheet name="Отчетная ведомость" sheetId="2" r:id="rId2"/>
    <sheet name="Ведомость зарплаты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3" l="1"/>
  <c r="D7" i="3"/>
  <c r="D8" i="3"/>
  <c r="D9" i="3"/>
  <c r="D10" i="3"/>
  <c r="D11" i="3"/>
  <c r="D12" i="3"/>
  <c r="D13" i="3"/>
  <c r="D14" i="3"/>
  <c r="D15" i="3"/>
  <c r="G15" i="3" s="1"/>
  <c r="H15" i="3" s="1"/>
  <c r="D16" i="3"/>
  <c r="D17" i="3"/>
  <c r="D18" i="3"/>
  <c r="D19" i="3"/>
  <c r="D5" i="3"/>
  <c r="H5" i="3" s="1"/>
  <c r="I5" i="3" s="1" a="1"/>
  <c r="I5" i="3" s="1"/>
  <c r="J5" i="3" s="1"/>
  <c r="K5" i="3" s="1"/>
  <c r="I7" i="3" a="1"/>
  <c r="I7" i="3" s="1"/>
  <c r="I18" i="3" a="1"/>
  <c r="I18" i="3" s="1"/>
  <c r="H7" i="3"/>
  <c r="J7" i="3" s="1"/>
  <c r="H8" i="3"/>
  <c r="I8" i="3" s="1" a="1"/>
  <c r="I8" i="3" s="1"/>
  <c r="J8" i="3" s="1"/>
  <c r="H12" i="3"/>
  <c r="I12" i="3" s="1" a="1"/>
  <c r="I12" i="3" s="1"/>
  <c r="H14" i="3"/>
  <c r="H18" i="3"/>
  <c r="J18" i="3" s="1"/>
  <c r="G6" i="3"/>
  <c r="H6" i="3" s="1"/>
  <c r="G7" i="3"/>
  <c r="G8" i="3"/>
  <c r="G10" i="3"/>
  <c r="H10" i="3" s="1"/>
  <c r="G12" i="3"/>
  <c r="G13" i="3"/>
  <c r="H13" i="3" s="1"/>
  <c r="G14" i="3"/>
  <c r="G16" i="3"/>
  <c r="H16" i="3" s="1"/>
  <c r="G18" i="3"/>
  <c r="G19" i="3"/>
  <c r="H19" i="3" s="1"/>
  <c r="G5" i="3"/>
  <c r="F6" i="3" a="1"/>
  <c r="F6" i="3" s="1"/>
  <c r="F7" i="3" a="1"/>
  <c r="F7" i="3" s="1"/>
  <c r="F8" i="3" a="1"/>
  <c r="F8" i="3"/>
  <c r="F9" i="3" a="1"/>
  <c r="F9" i="3" s="1"/>
  <c r="G9" i="3" s="1"/>
  <c r="H9" i="3" s="1"/>
  <c r="I9" i="3" s="1" a="1"/>
  <c r="I9" i="3" s="1"/>
  <c r="F10" i="3" a="1"/>
  <c r="F10" i="3" s="1"/>
  <c r="F11" i="3" a="1"/>
  <c r="F11" i="3"/>
  <c r="F12" i="3" a="1"/>
  <c r="F12" i="3" s="1"/>
  <c r="F13" i="3" a="1"/>
  <c r="F13" i="3" s="1"/>
  <c r="F14" i="3" a="1"/>
  <c r="F14" i="3"/>
  <c r="F15" i="3" a="1"/>
  <c r="F15" i="3" s="1"/>
  <c r="F16" i="3" a="1"/>
  <c r="F16" i="3" s="1"/>
  <c r="F17" i="3" a="1"/>
  <c r="F17" i="3"/>
  <c r="F18" i="3" a="1"/>
  <c r="F18" i="3" s="1"/>
  <c r="F19" i="3" a="1"/>
  <c r="F19" i="3" s="1"/>
  <c r="F5" i="3" a="1"/>
  <c r="F5" i="3" s="1"/>
  <c r="H6" i="2"/>
  <c r="H7" i="2"/>
  <c r="H8" i="2"/>
  <c r="H9" i="2"/>
  <c r="H10" i="2"/>
  <c r="H11" i="2"/>
  <c r="H12" i="2"/>
  <c r="H13" i="2"/>
  <c r="H14" i="2"/>
  <c r="H5" i="2"/>
  <c r="E15" i="2"/>
  <c r="F15" i="2"/>
  <c r="G15" i="2"/>
  <c r="G6" i="2"/>
  <c r="G7" i="2"/>
  <c r="G8" i="2"/>
  <c r="G9" i="2"/>
  <c r="G10" i="2"/>
  <c r="G11" i="2"/>
  <c r="G12" i="2"/>
  <c r="G13" i="2"/>
  <c r="G14" i="2"/>
  <c r="G5" i="2"/>
  <c r="F6" i="2"/>
  <c r="F7" i="2"/>
  <c r="F8" i="2"/>
  <c r="F9" i="2"/>
  <c r="F10" i="2"/>
  <c r="F11" i="2"/>
  <c r="F12" i="2"/>
  <c r="F13" i="2"/>
  <c r="F14" i="2"/>
  <c r="F5" i="2"/>
  <c r="E6" i="2"/>
  <c r="E7" i="2"/>
  <c r="E8" i="2"/>
  <c r="E9" i="2"/>
  <c r="E10" i="2"/>
  <c r="E11" i="2"/>
  <c r="E12" i="2"/>
  <c r="E13" i="2"/>
  <c r="E14" i="2"/>
  <c r="E5" i="2"/>
  <c r="D15" i="2"/>
  <c r="C15" i="2"/>
  <c r="B15" i="2"/>
  <c r="C13" i="1"/>
  <c r="B13" i="1"/>
  <c r="D6" i="1"/>
  <c r="G6" i="1" s="1"/>
  <c r="D7" i="1"/>
  <c r="G7" i="1" s="1"/>
  <c r="D8" i="1"/>
  <c r="G8" i="1" s="1"/>
  <c r="D9" i="1"/>
  <c r="G9" i="1" s="1"/>
  <c r="D10" i="1"/>
  <c r="D11" i="1"/>
  <c r="D12" i="1"/>
  <c r="G12" i="1" s="1"/>
  <c r="D5" i="1"/>
  <c r="D13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5" i="1"/>
  <c r="F5" i="1" s="1"/>
  <c r="F13" i="1" s="1"/>
  <c r="I16" i="3" l="1" a="1"/>
  <c r="I16" i="3" s="1"/>
  <c r="J16" i="3" s="1"/>
  <c r="K16" i="3" s="1"/>
  <c r="J6" i="3"/>
  <c r="I6" i="3" a="1"/>
  <c r="I6" i="3" s="1"/>
  <c r="I13" i="3" a="1"/>
  <c r="I13" i="3" s="1"/>
  <c r="J13" i="3" s="1"/>
  <c r="I15" i="3" a="1"/>
  <c r="I15" i="3" s="1"/>
  <c r="J15" i="3" s="1"/>
  <c r="J14" i="3"/>
  <c r="K14" i="3" s="1"/>
  <c r="I19" i="3" a="1"/>
  <c r="I19" i="3" s="1"/>
  <c r="J19" i="3"/>
  <c r="I10" i="3" a="1"/>
  <c r="I10" i="3" s="1"/>
  <c r="J10" i="3" s="1"/>
  <c r="K10" i="3" s="1"/>
  <c r="K12" i="3"/>
  <c r="I14" i="3" a="1"/>
  <c r="I14" i="3" s="1"/>
  <c r="G17" i="3"/>
  <c r="H17" i="3" s="1"/>
  <c r="G11" i="3"/>
  <c r="H11" i="3" s="1"/>
  <c r="K18" i="3"/>
  <c r="J12" i="3"/>
  <c r="J9" i="3"/>
  <c r="K9" i="3" s="1"/>
  <c r="K7" i="3"/>
  <c r="K19" i="3"/>
  <c r="K8" i="3"/>
  <c r="H15" i="2"/>
  <c r="G11" i="1"/>
  <c r="G10" i="1"/>
  <c r="E13" i="1"/>
  <c r="G5" i="1"/>
  <c r="G13" i="1" s="1"/>
  <c r="I17" i="3" l="1" a="1"/>
  <c r="I17" i="3" s="1"/>
  <c r="J17" i="3" s="1"/>
  <c r="K17" i="3" s="1"/>
  <c r="I11" i="3" a="1"/>
  <c r="I11" i="3" s="1"/>
  <c r="K15" i="3"/>
  <c r="K13" i="3"/>
  <c r="K6" i="3"/>
  <c r="J11" i="3" l="1"/>
  <c r="K1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<sst xmlns="http://schemas.openxmlformats.org/spreadsheetml/2006/main" count="79" uniqueCount="66">
  <si>
    <t>ВЕДОМОСТЬ ПЕРЕОЦЕНКИ ОСНОВНЫХ СРЕДСТВ ПРОИЗВОДСТВА</t>
  </si>
  <si>
    <t>Наименование объекта</t>
  </si>
  <si>
    <t>Балансовая стоимость (БС), млн.руб.</t>
  </si>
  <si>
    <t>Износ объекта (ИО), млн.руб.</t>
  </si>
  <si>
    <t>Остаточная стоимость (ОС), млн.руб.</t>
  </si>
  <si>
    <t>k</t>
  </si>
  <si>
    <t>Восстановительная полная стоимость (ВПС), млн.руб.</t>
  </si>
  <si>
    <t>Восстановительная остаточная стоимость (ВОС), млн.руб.</t>
  </si>
  <si>
    <t>Отдел менеджмента и маркетинга</t>
  </si>
  <si>
    <t>Отдел транспортировок</t>
  </si>
  <si>
    <t>Сборочный цех</t>
  </si>
  <si>
    <t>Отделочный цех</t>
  </si>
  <si>
    <t>Склад №1</t>
  </si>
  <si>
    <t>Склад №2</t>
  </si>
  <si>
    <t>Склад №3</t>
  </si>
  <si>
    <t>Склад №4</t>
  </si>
  <si>
    <t>Итого</t>
  </si>
  <si>
    <t>Клуб</t>
  </si>
  <si>
    <t>Январь</t>
  </si>
  <si>
    <t>Февраль</t>
  </si>
  <si>
    <t>Март</t>
  </si>
  <si>
    <t>Место</t>
  </si>
  <si>
    <t>Суммарная
выручка</t>
  </si>
  <si>
    <t>Средняя
выручка</t>
  </si>
  <si>
    <t>Доля в общей
выручке</t>
  </si>
  <si>
    <t>Альтаир</t>
  </si>
  <si>
    <t>Антей</t>
  </si>
  <si>
    <t>Арена</t>
  </si>
  <si>
    <t>Арсенал</t>
  </si>
  <si>
    <t>Блиндаж</t>
  </si>
  <si>
    <t>Галакс</t>
  </si>
  <si>
    <t>Звезда</t>
  </si>
  <si>
    <t>Патриот</t>
  </si>
  <si>
    <t>Полигон</t>
  </si>
  <si>
    <t>Сеть</t>
  </si>
  <si>
    <t>РАСЧЕТ ЗАРАБОТНОЙ ПЛАТЫ СОТРУДНИКОВ</t>
  </si>
  <si>
    <t>НАУЧНО-ПРОЕКТНОГО ОТДЕЛА</t>
  </si>
  <si>
    <t>№ п/п</t>
  </si>
  <si>
    <t>Фамилия И.О.</t>
  </si>
  <si>
    <t>Должность</t>
  </si>
  <si>
    <t>Тарифная ставка</t>
  </si>
  <si>
    <t>Стаж</t>
  </si>
  <si>
    <t>Надбавка за стаж</t>
  </si>
  <si>
    <t>Процент налога</t>
  </si>
  <si>
    <t>Сумма налога</t>
  </si>
  <si>
    <t>Выплата</t>
  </si>
  <si>
    <t>Антонов Р.И.</t>
  </si>
  <si>
    <t>Борисов И.П.</t>
  </si>
  <si>
    <t>Вольская О.А.</t>
  </si>
  <si>
    <t>Иванов В.А.</t>
  </si>
  <si>
    <t>Комаров Н.И.</t>
  </si>
  <si>
    <t>Крючков Н.Р.</t>
  </si>
  <si>
    <t>Новиков Л.Д.</t>
  </si>
  <si>
    <t>Огарев Н.И.</t>
  </si>
  <si>
    <t>Петров К.О.</t>
  </si>
  <si>
    <t>Реутова Е.Г.</t>
  </si>
  <si>
    <t>Сидоров И.Н.</t>
  </si>
  <si>
    <t>Степаненко В.Д.</t>
  </si>
  <si>
    <t>Тимофеев Н.Н.</t>
  </si>
  <si>
    <t>Уткина Е.В.</t>
  </si>
  <si>
    <t>Федоров А.Н.</t>
  </si>
  <si>
    <t>лаборант</t>
  </si>
  <si>
    <t>инженер</t>
  </si>
  <si>
    <t>мл.н.сотрудник</t>
  </si>
  <si>
    <t>ст.н.сотрудник</t>
  </si>
  <si>
    <t>зав.лабораторией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</si>
</sst>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6" formatCode="#,###.00,&quot; тыс.руб.&quot;"/>
    <numFmt numFmtId="167" formatCode="#,##0.00\ &quot;₽&quot;"/>
  </numFmts>
  <fonts count="7" x14ac:knownFonts="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b/>
      <i/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right" wrapText="1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166" fontId="0" fillId="0" borderId="1" xfId="0" applyNumberFormat="1" applyBorder="1"/>
    <xf numFmtId="0" fontId="0" fillId="0" borderId="1" xfId="0" applyBorder="1"/>
    <xf numFmtId="10" fontId="0" fillId="0" borderId="1" xfId="0" applyNumberFormat="1" applyBorder="1"/>
    <xf numFmtId="0" fontId="4" fillId="0" borderId="1" xfId="0" applyFont="1" applyBorder="1" applyAlignment="1">
      <alignment horizontal="right"/>
    </xf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3"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D56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Оценка</a:t>
            </a:r>
            <a:r>
              <a:rPr lang="ru-RU" baseline="0"/>
              <a:t> основных средств производства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'Ведомость переоценки'!$B$4</c:f>
              <c:strCache>
                <c:ptCount val="1"/>
                <c:pt idx="0">
                  <c:v>Балансовая стоимость (БС), млн.руб.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'Ведомость переоценки'!$A$7:$A$12</c:f>
              <c:strCache>
                <c:ptCount val="6"/>
                <c:pt idx="0">
                  <c:v>Сборочный цех</c:v>
                </c:pt>
                <c:pt idx="1">
                  <c:v>Отделочный цех</c:v>
                </c:pt>
                <c:pt idx="2">
                  <c:v>Склад №1</c:v>
                </c:pt>
                <c:pt idx="3">
                  <c:v>Склад №2</c:v>
                </c:pt>
                <c:pt idx="4">
                  <c:v>Склад №3</c:v>
                </c:pt>
                <c:pt idx="5">
                  <c:v>Склад №4</c:v>
                </c:pt>
              </c:strCache>
            </c:strRef>
          </c:cat>
          <c:val>
            <c:numRef>
              <c:f>'Ведомость переоценки'!$B$7:$B$12</c:f>
              <c:numCache>
                <c:formatCode>0.0</c:formatCode>
                <c:ptCount val="6"/>
                <c:pt idx="0">
                  <c:v>673</c:v>
                </c:pt>
                <c:pt idx="1">
                  <c:v>821.6</c:v>
                </c:pt>
                <c:pt idx="2">
                  <c:v>598.4</c:v>
                </c:pt>
                <c:pt idx="3">
                  <c:v>610</c:v>
                </c:pt>
                <c:pt idx="4">
                  <c:v>756.3</c:v>
                </c:pt>
                <c:pt idx="5">
                  <c:v>614.29999999999995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1D-7E43-8BE6-013C8F3DB1D4}"/>
            </c:ext>
          </c:extLst>
        </c:ser>
        <c:ser>
          <c:idx val="1"/>
          <c:order val="1"/>
          <c:tx>
            <c:strRef>
              <c:f>'Ведомость переоценки'!$C$4</c:f>
              <c:strCache>
                <c:ptCount val="1"/>
                <c:pt idx="0">
                  <c:v>Износ объекта (ИО), млн.руб.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'Ведомость переоценки'!$A$7:$A$12</c:f>
              <c:strCache>
                <c:ptCount val="6"/>
                <c:pt idx="0">
                  <c:v>Сборочный цех</c:v>
                </c:pt>
                <c:pt idx="1">
                  <c:v>Отделочный цех</c:v>
                </c:pt>
                <c:pt idx="2">
                  <c:v>Склад №1</c:v>
                </c:pt>
                <c:pt idx="3">
                  <c:v>Склад №2</c:v>
                </c:pt>
                <c:pt idx="4">
                  <c:v>Склад №3</c:v>
                </c:pt>
                <c:pt idx="5">
                  <c:v>Склад №4</c:v>
                </c:pt>
              </c:strCache>
            </c:strRef>
          </c:cat>
          <c:val>
            <c:numRef>
              <c:f>'Ведомость переоценки'!$C$7:$C$12</c:f>
              <c:numCache>
                <c:formatCode>0.0</c:formatCode>
                <c:ptCount val="6"/>
                <c:pt idx="0">
                  <c:v>198.9</c:v>
                </c:pt>
                <c:pt idx="1">
                  <c:v>401.2</c:v>
                </c:pt>
                <c:pt idx="2">
                  <c:v>131.5</c:v>
                </c:pt>
                <c:pt idx="3">
                  <c:v>345.6</c:v>
                </c:pt>
                <c:pt idx="4">
                  <c:v>159.6</c:v>
                </c:pt>
                <c:pt idx="5">
                  <c:v>148.69999999999999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1D-7E43-8BE6-013C8F3DB1D4}"/>
            </c:ext>
          </c:extLst>
        </c:ser>
        <c:ser>
          <c:idx val="2"/>
          <c:order val="2"/>
          <c:tx>
            <c:strRef>
              <c:f>'Ведомость переоценки'!$D$4</c:f>
              <c:strCache>
                <c:ptCount val="1"/>
                <c:pt idx="0">
                  <c:v>Остаточная стоимость (ОС), млн.руб.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'Ведомость переоценки'!$A$7:$A$12</c:f>
              <c:strCache>
                <c:ptCount val="6"/>
                <c:pt idx="0">
                  <c:v>Сборочный цех</c:v>
                </c:pt>
                <c:pt idx="1">
                  <c:v>Отделочный цех</c:v>
                </c:pt>
                <c:pt idx="2">
                  <c:v>Склад №1</c:v>
                </c:pt>
                <c:pt idx="3">
                  <c:v>Склад №2</c:v>
                </c:pt>
                <c:pt idx="4">
                  <c:v>Склад №3</c:v>
                </c:pt>
                <c:pt idx="5">
                  <c:v>Склад №4</c:v>
                </c:pt>
              </c:strCache>
            </c:strRef>
          </c:cat>
          <c:val>
            <c:numRef>
              <c:f>'Ведомость переоценки'!$D$7:$D$12</c:f>
              <c:numCache>
                <c:formatCode>0.0</c:formatCode>
                <c:ptCount val="6"/>
                <c:pt idx="0">
                  <c:v>474.1</c:v>
                </c:pt>
                <c:pt idx="1">
                  <c:v>420.40000000000003</c:v>
                </c:pt>
                <c:pt idx="2">
                  <c:v>466.9</c:v>
                </c:pt>
                <c:pt idx="3">
                  <c:v>264.39999999999998</c:v>
                </c:pt>
                <c:pt idx="4">
                  <c:v>596.69999999999993</c:v>
                </c:pt>
                <c:pt idx="5">
                  <c:v>465.59999999999997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1D-7E43-8BE6-013C8F3DB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13535840"/>
        <c:axId val="1413537840"/>
      </c:barChart>
      <c:catAx>
        <c:axId val="1413535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3537840"/>
        <c:crosses val="autoZero"/>
        <c:auto val="1"/>
        <c:lblAlgn val="ctr"/>
        <c:lblOffset val="100"/>
        <c:noMultiLvlLbl val="0"/>
      </c:catAx>
      <c:valAx>
        <c:axId val="141353784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3535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Данные</a:t>
            </a:r>
            <a:r>
              <a:rPr lang="ru-RU" baseline="0"/>
              <a:t> о работе компьютерных клубов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2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effectLst/>
            <a:scene3d>
              <a:camera prst="orthographicFront"/>
              <a:lightRig rig="threePt" dir="t"/>
            </a:scene3d>
          </c:spPr>
          <c:explosion val="24"/>
          <c:dPt>
            <c:idx val="0"/>
            <c:bubble3D val="0"/>
            <c:explosion val="31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8-B9B7-46D8-B60D-B1E053220C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9B7-46D8-B60D-B1E053220C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9B7-46D8-B60D-B1E053220C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B9B7-46D8-B60D-B1E053220CA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Lbls>
            <c:dLbl>
              <c:idx val="3"/>
              <c:layout>
                <c:manualLayout>
                  <c:x val="-1.4088854215215208E-16"/>
                  <c:y val="5.3914197554310789E-2"/>
                </c:manualLayout>
              </c:layout>
              <c:dLblPos val="bestFit"/>
              <c:showLegendKey val="1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9B7-46D8-B60D-B1E053220CAE}"/>
                </c:ext>
              </c:extLst>
            </c:dLbl>
            <c:dLbl>
              <c:idx val="7"/>
              <c:layout>
                <c:manualLayout>
                  <c:x val="-1.2378920934594992E-2"/>
                  <c:y val="-9.9314509912571489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bestFit"/>
              <c:showLegendKey val="1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5881912455467538E-2"/>
                      <c:h val="9.359799625974442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B9B7-46D8-B60D-B1E053220C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'Отчетная ведомость'!$A$5:$A$14</c:f>
              <c:strCache>
                <c:ptCount val="10"/>
                <c:pt idx="0">
                  <c:v>Альтаир</c:v>
                </c:pt>
                <c:pt idx="1">
                  <c:v>Антей</c:v>
                </c:pt>
                <c:pt idx="2">
                  <c:v>Арена</c:v>
                </c:pt>
                <c:pt idx="3">
                  <c:v>Арсенал</c:v>
                </c:pt>
                <c:pt idx="4">
                  <c:v>Блиндаж</c:v>
                </c:pt>
                <c:pt idx="5">
                  <c:v>Галакс</c:v>
                </c:pt>
                <c:pt idx="6">
                  <c:v>Звезда</c:v>
                </c:pt>
                <c:pt idx="7">
                  <c:v>Патриот</c:v>
                </c:pt>
                <c:pt idx="8">
                  <c:v>Полигон</c:v>
                </c:pt>
                <c:pt idx="9">
                  <c:v>Сеть</c:v>
                </c:pt>
              </c:strCache>
            </c:strRef>
          </c:cat>
          <c:val>
            <c:numRef>
              <c:f>'Отчетная ведомость'!$H$5:$H$14</c:f>
              <c:numCache>
                <c:formatCode>0.00%</c:formatCode>
                <c:ptCount val="10"/>
                <c:pt idx="0">
                  <c:v>6.4349874834339571E-2</c:v>
                </c:pt>
                <c:pt idx="1">
                  <c:v>6.5969665734059782E-2</c:v>
                </c:pt>
                <c:pt idx="2">
                  <c:v>0.12393854611495607</c:v>
                </c:pt>
                <c:pt idx="3">
                  <c:v>0.10734796053600354</c:v>
                </c:pt>
                <c:pt idx="4">
                  <c:v>0.13998920139400187</c:v>
                </c:pt>
                <c:pt idx="5">
                  <c:v>7.2694252196534623E-2</c:v>
                </c:pt>
                <c:pt idx="6">
                  <c:v>0.11903008884307661</c:v>
                </c:pt>
                <c:pt idx="7">
                  <c:v>8.1382221567761259E-2</c:v>
                </c:pt>
                <c:pt idx="8">
                  <c:v>0.1386639179305944</c:v>
                </c:pt>
                <c:pt idx="9">
                  <c:v>8.6634270848672257E-2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B7-46D8-B60D-B1E053220CA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458351024895674E-2"/>
          <c:y val="0.89669297953584193"/>
          <c:w val="0.92397965879265087"/>
          <c:h val="6.7016487064390923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Сравнительная диаграмма</a:t>
            </a:r>
            <a:r>
              <a:rPr lang="ru-RU" baseline="0"/>
              <a:t> заработной платы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'Ведомость зарплаты'!$B$5:$B$19</c:f>
              <c:strCache>
                <c:ptCount val="15"/>
                <c:pt idx="0">
                  <c:v>Антонов Р.И.</c:v>
                </c:pt>
                <c:pt idx="1">
                  <c:v>Борисов И.П.</c:v>
                </c:pt>
                <c:pt idx="2">
                  <c:v>Вольская О.А.</c:v>
                </c:pt>
                <c:pt idx="3">
                  <c:v>Иванов В.А.</c:v>
                </c:pt>
                <c:pt idx="4">
                  <c:v>Комаров Н.И.</c:v>
                </c:pt>
                <c:pt idx="5">
                  <c:v>Крючков Н.Р.</c:v>
                </c:pt>
                <c:pt idx="6">
                  <c:v>Новиков Л.Д.</c:v>
                </c:pt>
                <c:pt idx="7">
                  <c:v>Огарев Н.И.</c:v>
                </c:pt>
                <c:pt idx="8">
                  <c:v>Петров К.О.</c:v>
                </c:pt>
                <c:pt idx="9">
                  <c:v>Реутова Е.Г.</c:v>
                </c:pt>
                <c:pt idx="10">
                  <c:v>Сидоров И.Н.</c:v>
                </c:pt>
                <c:pt idx="11">
                  <c:v>Степаненко В.Д.</c:v>
                </c:pt>
                <c:pt idx="12">
                  <c:v>Тимофеев Н.Н.</c:v>
                </c:pt>
                <c:pt idx="13">
                  <c:v>Уткина Е.В.</c:v>
                </c:pt>
                <c:pt idx="14">
                  <c:v>Федоров А.Н.</c:v>
                </c:pt>
              </c:strCache>
            </c:strRef>
          </c:cat>
          <c:val>
            <c:numRef>
              <c:f>'Ведомость зарплаты'!$K$5:$K$19</c:f>
              <c:numCache>
                <c:formatCode>#\ ##0.00\ "₽"</c:formatCode>
                <c:ptCount val="15"/>
                <c:pt idx="0">
                  <c:v>15858.04</c:v>
                </c:pt>
                <c:pt idx="1">
                  <c:v>28514.25</c:v>
                </c:pt>
                <c:pt idx="2">
                  <c:v>26303.95</c:v>
                </c:pt>
                <c:pt idx="3">
                  <c:v>15858.04</c:v>
                </c:pt>
                <c:pt idx="4">
                  <c:v>32818.5</c:v>
                </c:pt>
                <c:pt idx="5">
                  <c:v>29714.85</c:v>
                </c:pt>
                <c:pt idx="6">
                  <c:v>26830.799999999999</c:v>
                </c:pt>
                <c:pt idx="7">
                  <c:v>25160.3</c:v>
                </c:pt>
                <c:pt idx="8">
                  <c:v>32130</c:v>
                </c:pt>
                <c:pt idx="9">
                  <c:v>31556.25</c:v>
                </c:pt>
                <c:pt idx="10">
                  <c:v>28514.25</c:v>
                </c:pt>
                <c:pt idx="11">
                  <c:v>17299.68</c:v>
                </c:pt>
                <c:pt idx="12">
                  <c:v>29714.85</c:v>
                </c:pt>
                <c:pt idx="13">
                  <c:v>25160.3</c:v>
                </c:pt>
                <c:pt idx="14">
                  <c:v>30281.25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69-4095-A27E-CFFEEDC855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2089727"/>
        <c:axId val="1102090143"/>
      </c:barChart>
      <c:catAx>
        <c:axId val="1102089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2090143"/>
        <c:crosses val="autoZero"/>
        <c:auto val="1"/>
        <c:lblAlgn val="ctr"/>
        <c:lblOffset val="100"/>
        <c:noMultiLvlLbl val="0"/>
      </c:catAx>
      <c:valAx>
        <c:axId val="11020901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\ ##0.00\ &quot;₽&quot;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208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160446</xdr:colOff>
      <xdr:row>3</xdr:row>
      <xdr:rowOff>107024</xdr:rowOff>
    </xdr:from>
    <xdr:to>
      <xdr:col>14</xdr:col>
      <xdr:colOff>749299</xdr:colOff>
      <xdr:row>16</xdr:row>
      <xdr:rowOff>96753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0AC8CC6-B381-AC85-D8D4-F2891CD4B1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448236</xdr:colOff>
      <xdr:row>3</xdr:row>
      <xdr:rowOff>20730</xdr:rowOff>
    </xdr:from>
    <xdr:to>
      <xdr:col>18</xdr:col>
      <xdr:colOff>222998</xdr:colOff>
      <xdr:row>23</xdr:row>
      <xdr:rowOff>58831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2BD38F0-AD97-4162-8A20-F02B5D883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26090</xdr:colOff>
      <xdr:row>20</xdr:row>
      <xdr:rowOff>162754</xdr:rowOff>
    </xdr:from>
    <xdr:to>
      <xdr:col>10</xdr:col>
      <xdr:colOff>778565</xdr:colOff>
      <xdr:row>37</xdr:row>
      <xdr:rowOff>122748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EF8D25C-BB8B-4FAE-857A-B5367AC2A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A50D9-AFE3-0D44-9F04-EE237A693DFB}">
  <dimension ref="A1:G13"/>
  <sheetViews>
    <sheetView tabSelected="1" workbookViewId="0">
      <selection activeCell="G14" sqref="G14"/>
    </sheetView>
  </sheetViews>
  <sheetFormatPr defaultColWidth="11" defaultRowHeight="15.75" x14ac:dyDescent="0.25"/>
  <cols>
    <col min="1" max="7" width="20" customWidth="1"/>
  </cols>
  <sheetData>
    <row r="1" spans="1:7" x14ac:dyDescent="0.25">
      <c r="A1" s="6" t="s">
        <v>0</v>
      </c>
      <c r="B1" s="6"/>
      <c r="C1" s="6"/>
      <c r="D1" s="6"/>
      <c r="E1" s="6"/>
      <c r="F1" s="6"/>
      <c r="G1" s="6"/>
    </row>
    <row r="2" spans="1:7" x14ac:dyDescent="0.25">
      <c r="A2" s="6"/>
      <c r="B2" s="6"/>
      <c r="C2" s="6"/>
      <c r="D2" s="6"/>
      <c r="E2" s="6"/>
      <c r="F2" s="6"/>
      <c r="G2" s="6"/>
    </row>
    <row r="4" spans="1:7" ht="63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</row>
    <row r="5" spans="1:7" ht="31.5" x14ac:dyDescent="0.25">
      <c r="A5" s="2" t="s">
        <v>8</v>
      </c>
      <c r="B5" s="3">
        <v>19087.8</v>
      </c>
      <c r="C5" s="3">
        <v>568.79999999999995</v>
      </c>
      <c r="D5" s="3">
        <f>B5-C5</f>
        <v>18519</v>
      </c>
      <c r="E5" s="3">
        <f>IF(B5&lt;=700,3.3,IF(700&lt;B5&lt;1000,4.2,5.1))</f>
        <v>5.0999999999999996</v>
      </c>
      <c r="F5" s="3">
        <f>B5*E5</f>
        <v>97347.779999999984</v>
      </c>
      <c r="G5" s="3">
        <f>D5*E5</f>
        <v>94446.9</v>
      </c>
    </row>
    <row r="6" spans="1:7" ht="31.5" x14ac:dyDescent="0.25">
      <c r="A6" s="2" t="s">
        <v>9</v>
      </c>
      <c r="B6" s="3">
        <v>407.2</v>
      </c>
      <c r="C6" s="3">
        <v>203.1</v>
      </c>
      <c r="D6" s="3">
        <f t="shared" ref="D6:D12" si="0">B6-C6</f>
        <v>204.1</v>
      </c>
      <c r="E6" s="3">
        <f t="shared" ref="E6:E12" si="1">IF(B6&lt;=700,3.3,IF(700&lt;B6&lt;1000,4.2,5.1))</f>
        <v>3.3</v>
      </c>
      <c r="F6" s="3">
        <f t="shared" ref="F6:F12" si="2">B6*E6</f>
        <v>1343.76</v>
      </c>
      <c r="G6" s="3">
        <f t="shared" ref="G6:G12" si="3">D6*E6</f>
        <v>673.53</v>
      </c>
    </row>
    <row r="7" spans="1:7" x14ac:dyDescent="0.25">
      <c r="A7" s="2" t="s">
        <v>10</v>
      </c>
      <c r="B7" s="3">
        <v>673</v>
      </c>
      <c r="C7" s="3">
        <v>198.9</v>
      </c>
      <c r="D7" s="3">
        <f t="shared" si="0"/>
        <v>474.1</v>
      </c>
      <c r="E7" s="3">
        <f t="shared" si="1"/>
        <v>3.3</v>
      </c>
      <c r="F7" s="3">
        <f t="shared" si="2"/>
        <v>2220.9</v>
      </c>
      <c r="G7" s="3">
        <f t="shared" si="3"/>
        <v>1564.53</v>
      </c>
    </row>
    <row r="8" spans="1:7" x14ac:dyDescent="0.25">
      <c r="A8" s="2" t="s">
        <v>11</v>
      </c>
      <c r="B8" s="3">
        <v>821.6</v>
      </c>
      <c r="C8" s="3">
        <v>401.2</v>
      </c>
      <c r="D8" s="3">
        <f t="shared" si="0"/>
        <v>420.40000000000003</v>
      </c>
      <c r="E8" s="3">
        <f t="shared" si="1"/>
        <v>5.0999999999999996</v>
      </c>
      <c r="F8" s="3">
        <f t="shared" si="2"/>
        <v>4190.16</v>
      </c>
      <c r="G8" s="3">
        <f t="shared" si="3"/>
        <v>2144.04</v>
      </c>
    </row>
    <row r="9" spans="1:7" x14ac:dyDescent="0.25">
      <c r="A9" s="2" t="s">
        <v>12</v>
      </c>
      <c r="B9" s="3">
        <v>598.4</v>
      </c>
      <c r="C9" s="3">
        <v>131.5</v>
      </c>
      <c r="D9" s="3">
        <f t="shared" si="0"/>
        <v>466.9</v>
      </c>
      <c r="E9" s="3">
        <f t="shared" si="1"/>
        <v>3.3</v>
      </c>
      <c r="F9" s="3">
        <f t="shared" si="2"/>
        <v>1974.7199999999998</v>
      </c>
      <c r="G9" s="3">
        <f t="shared" si="3"/>
        <v>1540.7699999999998</v>
      </c>
    </row>
    <row r="10" spans="1:7" x14ac:dyDescent="0.25">
      <c r="A10" s="2" t="s">
        <v>13</v>
      </c>
      <c r="B10" s="3">
        <v>610</v>
      </c>
      <c r="C10" s="3">
        <v>345.6</v>
      </c>
      <c r="D10" s="3">
        <f t="shared" si="0"/>
        <v>264.39999999999998</v>
      </c>
      <c r="E10" s="3">
        <f t="shared" si="1"/>
        <v>3.3</v>
      </c>
      <c r="F10" s="3">
        <f t="shared" si="2"/>
        <v>2013</v>
      </c>
      <c r="G10" s="3">
        <f t="shared" si="3"/>
        <v>872.51999999999987</v>
      </c>
    </row>
    <row r="11" spans="1:7" x14ac:dyDescent="0.25">
      <c r="A11" s="2" t="s">
        <v>14</v>
      </c>
      <c r="B11" s="3">
        <v>756.3</v>
      </c>
      <c r="C11" s="3">
        <v>159.6</v>
      </c>
      <c r="D11" s="3">
        <f t="shared" si="0"/>
        <v>596.69999999999993</v>
      </c>
      <c r="E11" s="3">
        <f t="shared" si="1"/>
        <v>5.0999999999999996</v>
      </c>
      <c r="F11" s="3">
        <f t="shared" si="2"/>
        <v>3857.1299999999997</v>
      </c>
      <c r="G11" s="3">
        <f t="shared" si="3"/>
        <v>3043.1699999999996</v>
      </c>
    </row>
    <row r="12" spans="1:7" x14ac:dyDescent="0.25">
      <c r="A12" s="2" t="s">
        <v>15</v>
      </c>
      <c r="B12" s="3">
        <v>614.29999999999995</v>
      </c>
      <c r="C12" s="3">
        <v>148.69999999999999</v>
      </c>
      <c r="D12" s="3">
        <f t="shared" si="0"/>
        <v>465.59999999999997</v>
      </c>
      <c r="E12" s="3">
        <f t="shared" si="1"/>
        <v>3.3</v>
      </c>
      <c r="F12" s="3">
        <f t="shared" si="2"/>
        <v>2027.1899999999998</v>
      </c>
      <c r="G12" s="3">
        <f t="shared" si="3"/>
        <v>1536.4799999999998</v>
      </c>
    </row>
    <row r="13" spans="1:7" x14ac:dyDescent="0.25">
      <c r="A13" s="4" t="s">
        <v>16</v>
      </c>
      <c r="B13" s="5">
        <f>SUM(B5:B12)</f>
        <v>23568.6</v>
      </c>
      <c r="C13" s="5">
        <f t="shared" ref="C13:G13" si="4">SUM(C5:C12)</f>
        <v>2157.3999999999996</v>
      </c>
      <c r="D13" s="5">
        <f t="shared" si="4"/>
        <v>21411.200000000001</v>
      </c>
      <c r="E13" s="5">
        <f t="shared" si="4"/>
        <v>31.8</v>
      </c>
      <c r="F13" s="5">
        <f t="shared" si="4"/>
        <v>114974.63999999998</v>
      </c>
      <c r="G13" s="5">
        <f t="shared" si="4"/>
        <v>105821.93999999999</v>
      </c>
    </row>
  </sheetData>
  <mergeCells count="1">
    <mergeCell ref="A1:G2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4F0F3-5EFB-4F71-90B5-43E1B92404F3}">
  <dimension ref="A4:H15"/>
  <sheetViews>
    <sheetView zoomScale="85" zoomScaleNormal="85" workbookViewId="0">
      <selection activeCell="T12" sqref="T12"/>
    </sheetView>
  </sheetViews>
  <sheetFormatPr defaultRowHeight="15.75" x14ac:dyDescent="0.25"/>
  <cols>
    <col min="1" max="1" width="8.875" bestFit="1" customWidth="1"/>
    <col min="2" max="4" width="15.5" bestFit="1" customWidth="1"/>
    <col min="5" max="5" width="16.5" bestFit="1" customWidth="1"/>
    <col min="6" max="6" width="6.375" bestFit="1" customWidth="1"/>
    <col min="7" max="7" width="15.5" bestFit="1" customWidth="1"/>
    <col min="8" max="8" width="11.875" bestFit="1" customWidth="1"/>
  </cols>
  <sheetData>
    <row r="4" spans="1:8" ht="47.25" x14ac:dyDescent="0.25">
      <c r="A4" s="7" t="s">
        <v>17</v>
      </c>
      <c r="B4" s="7" t="s">
        <v>18</v>
      </c>
      <c r="C4" s="7" t="s">
        <v>19</v>
      </c>
      <c r="D4" s="7" t="s">
        <v>20</v>
      </c>
      <c r="E4" s="8" t="s">
        <v>22</v>
      </c>
      <c r="F4" s="7" t="s">
        <v>21</v>
      </c>
      <c r="G4" s="8" t="s">
        <v>23</v>
      </c>
      <c r="H4" s="8" t="s">
        <v>24</v>
      </c>
    </row>
    <row r="5" spans="1:8" x14ac:dyDescent="0.25">
      <c r="A5" s="9" t="s">
        <v>25</v>
      </c>
      <c r="B5" s="10">
        <v>345000</v>
      </c>
      <c r="C5" s="10">
        <v>543000</v>
      </c>
      <c r="D5" s="10">
        <v>423000</v>
      </c>
      <c r="E5" s="10">
        <f>SUM(B5:D5)</f>
        <v>1311000</v>
      </c>
      <c r="F5" s="11">
        <f>_xlfn.RANK.EQ(E5,$E$5:$E$14)</f>
        <v>10</v>
      </c>
      <c r="G5" s="10">
        <f>AVERAGE(B5:D5)</f>
        <v>437000</v>
      </c>
      <c r="H5" s="12">
        <f>E5/$E$15</f>
        <v>6.4349874834339571E-2</v>
      </c>
    </row>
    <row r="6" spans="1:8" x14ac:dyDescent="0.25">
      <c r="A6" s="9" t="s">
        <v>26</v>
      </c>
      <c r="B6" s="10">
        <v>657000</v>
      </c>
      <c r="C6" s="10">
        <v>234000</v>
      </c>
      <c r="D6" s="10">
        <v>453000</v>
      </c>
      <c r="E6" s="10">
        <f t="shared" ref="E6:E14" si="0">SUM(B6:D6)</f>
        <v>1344000</v>
      </c>
      <c r="F6" s="11">
        <f t="shared" ref="F6:F14" si="1">_xlfn.RANK.EQ(E6,$E$5:$E$14)</f>
        <v>9</v>
      </c>
      <c r="G6" s="10">
        <f t="shared" ref="G6:G14" si="2">AVERAGE(B6:D6)</f>
        <v>448000</v>
      </c>
      <c r="H6" s="12">
        <f t="shared" ref="H6:H14" si="3">E6/$E$15</f>
        <v>6.5969665734059782E-2</v>
      </c>
    </row>
    <row r="7" spans="1:8" x14ac:dyDescent="0.25">
      <c r="A7" s="9" t="s">
        <v>27</v>
      </c>
      <c r="B7" s="10">
        <v>765000</v>
      </c>
      <c r="C7" s="10">
        <v>904000</v>
      </c>
      <c r="D7" s="10">
        <v>856000</v>
      </c>
      <c r="E7" s="10">
        <f t="shared" si="0"/>
        <v>2525000</v>
      </c>
      <c r="F7" s="11">
        <f t="shared" si="1"/>
        <v>3</v>
      </c>
      <c r="G7" s="10">
        <f t="shared" si="2"/>
        <v>841666.66666666663</v>
      </c>
      <c r="H7" s="12">
        <f t="shared" si="3"/>
        <v>0.12393854611495607</v>
      </c>
    </row>
    <row r="8" spans="1:8" x14ac:dyDescent="0.25">
      <c r="A8" s="9" t="s">
        <v>28</v>
      </c>
      <c r="B8" s="10">
        <v>798000</v>
      </c>
      <c r="C8" s="10">
        <v>735000</v>
      </c>
      <c r="D8" s="10">
        <v>654000</v>
      </c>
      <c r="E8" s="10">
        <f t="shared" si="0"/>
        <v>2187000</v>
      </c>
      <c r="F8" s="11">
        <f t="shared" si="1"/>
        <v>5</v>
      </c>
      <c r="G8" s="10">
        <f t="shared" si="2"/>
        <v>729000</v>
      </c>
      <c r="H8" s="12">
        <f t="shared" si="3"/>
        <v>0.10734796053600354</v>
      </c>
    </row>
    <row r="9" spans="1:8" x14ac:dyDescent="0.25">
      <c r="A9" s="9" t="s">
        <v>29</v>
      </c>
      <c r="B9" s="10">
        <v>897000</v>
      </c>
      <c r="C9" s="10">
        <v>984000</v>
      </c>
      <c r="D9" s="10">
        <v>971000</v>
      </c>
      <c r="E9" s="10">
        <f t="shared" si="0"/>
        <v>2852000</v>
      </c>
      <c r="F9" s="11">
        <f t="shared" si="1"/>
        <v>1</v>
      </c>
      <c r="G9" s="10">
        <f t="shared" si="2"/>
        <v>950666.66666666663</v>
      </c>
      <c r="H9" s="12">
        <f t="shared" si="3"/>
        <v>0.13998920139400187</v>
      </c>
    </row>
    <row r="10" spans="1:8" x14ac:dyDescent="0.25">
      <c r="A10" s="9" t="s">
        <v>30</v>
      </c>
      <c r="B10" s="10">
        <v>375000</v>
      </c>
      <c r="C10" s="10">
        <v>594000</v>
      </c>
      <c r="D10" s="10">
        <v>512000</v>
      </c>
      <c r="E10" s="10">
        <f t="shared" si="0"/>
        <v>1481000</v>
      </c>
      <c r="F10" s="11">
        <f t="shared" si="1"/>
        <v>8</v>
      </c>
      <c r="G10" s="10">
        <f t="shared" si="2"/>
        <v>493666.66666666669</v>
      </c>
      <c r="H10" s="12">
        <f t="shared" si="3"/>
        <v>7.2694252196534623E-2</v>
      </c>
    </row>
    <row r="11" spans="1:8" x14ac:dyDescent="0.25">
      <c r="A11" s="9" t="s">
        <v>31</v>
      </c>
      <c r="B11" s="10">
        <v>912000</v>
      </c>
      <c r="C11" s="10">
        <v>634000</v>
      </c>
      <c r="D11" s="10">
        <v>879000</v>
      </c>
      <c r="E11" s="10">
        <f t="shared" si="0"/>
        <v>2425000</v>
      </c>
      <c r="F11" s="11">
        <f t="shared" si="1"/>
        <v>4</v>
      </c>
      <c r="G11" s="10">
        <f t="shared" si="2"/>
        <v>808333.33333333337</v>
      </c>
      <c r="H11" s="12">
        <f t="shared" si="3"/>
        <v>0.11903008884307661</v>
      </c>
    </row>
    <row r="12" spans="1:8" x14ac:dyDescent="0.25">
      <c r="A12" s="9" t="s">
        <v>32</v>
      </c>
      <c r="B12" s="10">
        <v>467000</v>
      </c>
      <c r="C12" s="10">
        <v>593000</v>
      </c>
      <c r="D12" s="10">
        <v>598000</v>
      </c>
      <c r="E12" s="10">
        <f t="shared" si="0"/>
        <v>1658000</v>
      </c>
      <c r="F12" s="11">
        <f t="shared" si="1"/>
        <v>7</v>
      </c>
      <c r="G12" s="10">
        <f t="shared" si="2"/>
        <v>552666.66666666663</v>
      </c>
      <c r="H12" s="12">
        <f t="shared" si="3"/>
        <v>8.1382221567761259E-2</v>
      </c>
    </row>
    <row r="13" spans="1:8" x14ac:dyDescent="0.25">
      <c r="A13" s="9" t="s">
        <v>33</v>
      </c>
      <c r="B13" s="10">
        <v>1003000</v>
      </c>
      <c r="C13" s="10">
        <v>945000</v>
      </c>
      <c r="D13" s="10">
        <v>877000</v>
      </c>
      <c r="E13" s="10">
        <f t="shared" si="0"/>
        <v>2825000</v>
      </c>
      <c r="F13" s="11">
        <f t="shared" si="1"/>
        <v>2</v>
      </c>
      <c r="G13" s="10">
        <f t="shared" si="2"/>
        <v>941666.66666666663</v>
      </c>
      <c r="H13" s="12">
        <f t="shared" si="3"/>
        <v>0.1386639179305944</v>
      </c>
    </row>
    <row r="14" spans="1:8" x14ac:dyDescent="0.25">
      <c r="A14" s="9" t="s">
        <v>34</v>
      </c>
      <c r="B14" s="10">
        <v>545000</v>
      </c>
      <c r="C14" s="10">
        <v>567000</v>
      </c>
      <c r="D14" s="10">
        <v>653000</v>
      </c>
      <c r="E14" s="10">
        <f t="shared" si="0"/>
        <v>1765000</v>
      </c>
      <c r="F14" s="11">
        <f t="shared" si="1"/>
        <v>6</v>
      </c>
      <c r="G14" s="10">
        <f t="shared" si="2"/>
        <v>588333.33333333337</v>
      </c>
      <c r="H14" s="12">
        <f t="shared" si="3"/>
        <v>8.6634270848672257E-2</v>
      </c>
    </row>
    <row r="15" spans="1:8" x14ac:dyDescent="0.25">
      <c r="A15" s="13" t="s">
        <v>16</v>
      </c>
      <c r="B15" s="10">
        <f>SUM(B5:B14)</f>
        <v>6764000</v>
      </c>
      <c r="C15" s="10">
        <f>SUM(C5:C14)</f>
        <v>6733000</v>
      </c>
      <c r="D15" s="10">
        <f>SUM(D5:D14)</f>
        <v>6876000</v>
      </c>
      <c r="E15" s="10">
        <f t="shared" ref="E15:H15" si="4">SUM(E5:E14)</f>
        <v>20373000</v>
      </c>
      <c r="F15" s="11">
        <f t="shared" si="4"/>
        <v>55</v>
      </c>
      <c r="G15" s="10">
        <f t="shared" si="4"/>
        <v>6791000</v>
      </c>
      <c r="H15" s="12">
        <f t="shared" si="4"/>
        <v>1</v>
      </c>
    </row>
  </sheetData>
  <phoneticPr fontId="2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B070-F369-4C3E-A2DF-BF364A1988B2}">
  <dimension ref="A1:K19"/>
  <sheetViews>
    <sheetView zoomScale="85" zoomScaleNormal="85" workbookViewId="0">
      <selection activeCell="O14" sqref="O14"/>
    </sheetView>
  </sheetViews>
  <sheetFormatPr defaultRowHeight="15.75" x14ac:dyDescent="0.25"/>
  <cols>
    <col min="1" max="1" width="6.75" bestFit="1" customWidth="1"/>
    <col min="2" max="2" width="14.875" bestFit="1" customWidth="1"/>
    <col min="3" max="3" width="16.5" bestFit="1" customWidth="1"/>
    <col min="4" max="4" width="17.5" bestFit="1" customWidth="1"/>
    <col min="5" max="5" width="7.375" bestFit="1" customWidth="1"/>
    <col min="6" max="6" width="4.875" bestFit="1" customWidth="1"/>
    <col min="7" max="7" width="18.25" bestFit="1" customWidth="1"/>
    <col min="8" max="8" width="10.375" bestFit="1" customWidth="1"/>
    <col min="9" max="9" width="16.25" bestFit="1" customWidth="1"/>
    <col min="10" max="10" width="14.125" bestFit="1" customWidth="1"/>
    <col min="11" max="11" width="10.375" bestFit="1" customWidth="1"/>
  </cols>
  <sheetData>
    <row r="1" spans="1:11" x14ac:dyDescent="0.25">
      <c r="A1" s="14" t="s">
        <v>35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x14ac:dyDescent="0.25">
      <c r="A2" s="14" t="s">
        <v>36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spans="1:11" x14ac:dyDescent="0.25">
      <c r="A4" s="15" t="s">
        <v>37</v>
      </c>
      <c r="B4" s="15" t="s">
        <v>38</v>
      </c>
      <c r="C4" s="15" t="s">
        <v>39</v>
      </c>
      <c r="D4" s="15" t="s">
        <v>40</v>
      </c>
      <c r="E4" s="15" t="s">
        <v>41</v>
      </c>
      <c r="F4" s="15" t="s">
        <v>5</v>
      </c>
      <c r="G4" s="15" t="s">
        <v>42</v>
      </c>
      <c r="H4" s="15" t="s">
        <v>16</v>
      </c>
      <c r="I4" s="15" t="s">
        <v>43</v>
      </c>
      <c r="J4" s="15" t="s">
        <v>44</v>
      </c>
      <c r="K4" s="15" t="s">
        <v>45</v>
      </c>
    </row>
    <row r="5" spans="1:11" x14ac:dyDescent="0.25">
      <c r="A5" s="16">
        <v>1</v>
      </c>
      <c r="B5" s="5" t="s">
        <v>46</v>
      </c>
      <c r="C5" s="17" t="s">
        <v>61</v>
      </c>
      <c r="D5" s="18">
        <f>IF(C5="лаборант", 15670,
IF(C5="инженер", 28500,
IF(C5="мл.н.сотрудник", 25700,
IF(C5="ст.н.сотрудник", 29700,
IF(C5="зав.лабораторией", 31500, 0)))))</f>
        <v>15670</v>
      </c>
      <c r="E5" s="19">
        <v>2</v>
      </c>
      <c r="F5" s="5" cm="1">
        <f t="array" ref="F5">_xlfn.IFS(
E5&lt;=5, 0.1,
E5&lt;=7, 0.15,
E5&lt;=10, 0.2,
E5&lt;=15, 0.25,
E5&gt;15, 0.3
)</f>
        <v>0.1</v>
      </c>
      <c r="G5" s="18">
        <f>D5*F5</f>
        <v>1567</v>
      </c>
      <c r="H5" s="18">
        <f>D5+G5</f>
        <v>17237</v>
      </c>
      <c r="I5" s="20" cm="1">
        <f t="array" ref="I5">_xlfn.IFS(
H5&lt;=20000, 0.08,
H5&lt;=30000, 0.11,
H5&lt;=35000, 0.13,
H5&gt;35000, 0.15
)</f>
        <v>0.08</v>
      </c>
      <c r="J5" s="18">
        <f>H5*I5</f>
        <v>1378.96</v>
      </c>
      <c r="K5" s="18">
        <f>H5-J5</f>
        <v>15858.04</v>
      </c>
    </row>
    <row r="6" spans="1:11" x14ac:dyDescent="0.25">
      <c r="A6" s="16">
        <v>2</v>
      </c>
      <c r="B6" s="5" t="s">
        <v>47</v>
      </c>
      <c r="C6" s="17" t="s">
        <v>62</v>
      </c>
      <c r="D6" s="18">
        <f t="shared" ref="D6:D19" si="0">IF(C6="лаборант", 15670,
IF(C6="инженер", 28500,
IF(C6="мл.н.сотрудник", 25700,
IF(C6="ст.н.сотрудник", 29700,
IF(C6="зав.лабораторией", 31500, 0)))))</f>
        <v>28500</v>
      </c>
      <c r="E6" s="19">
        <v>6</v>
      </c>
      <c r="F6" s="5" cm="1">
        <f t="array" ref="F6">_xlfn.IFS(
E6&lt;=5, 0.1,
E6&lt;=7, 0.15,
E6&lt;=10, 0.2,
E6&lt;=15, 0.25,
E6&gt;15, 0.3
)</f>
        <v>0.15</v>
      </c>
      <c r="G6" s="18">
        <f t="shared" ref="G6:G19" si="1">D6*F6</f>
        <v>4275</v>
      </c>
      <c r="H6" s="18">
        <f t="shared" ref="H6:H19" si="2">D6+G6</f>
        <v>32775</v>
      </c>
      <c r="I6" s="20" cm="1">
        <f t="array" ref="I6">_xlfn.IFS(
H6&lt;=20000, 0.08,
H6&lt;=30000, 0.11,
H6&lt;=35000, 0.13,
H6&gt;35000, 0.15
)</f>
        <v>0.13</v>
      </c>
      <c r="J6" s="18">
        <f t="shared" ref="J6:J19" si="3">H6*I6</f>
        <v>4260.75</v>
      </c>
      <c r="K6" s="18">
        <f t="shared" ref="K6:K19" si="4">H6-J6</f>
        <v>28514.25</v>
      </c>
    </row>
    <row r="7" spans="1:11" x14ac:dyDescent="0.25">
      <c r="A7" s="16">
        <v>3</v>
      </c>
      <c r="B7" s="5" t="s">
        <v>48</v>
      </c>
      <c r="C7" s="17" t="s">
        <v>63</v>
      </c>
      <c r="D7" s="18">
        <f t="shared" si="0"/>
        <v>25700</v>
      </c>
      <c r="E7" s="19">
        <v>7</v>
      </c>
      <c r="F7" s="5" cm="1">
        <f t="array" ref="F7">_xlfn.IFS(
E7&lt;=5, 0.1,
E7&lt;=7, 0.15,
E7&lt;=10, 0.2,
E7&lt;=15, 0.25,
E7&gt;15, 0.3
)</f>
        <v>0.15</v>
      </c>
      <c r="G7" s="18">
        <f t="shared" si="1"/>
        <v>3855</v>
      </c>
      <c r="H7" s="18">
        <f t="shared" si="2"/>
        <v>29555</v>
      </c>
      <c r="I7" s="20" cm="1">
        <f t="array" ref="I7">_xlfn.IFS(
H7&lt;=20000, 0.08,
H7&lt;=30000, 0.11,
H7&lt;=35000, 0.13,
H7&gt;35000, 0.15
)</f>
        <v>0.11</v>
      </c>
      <c r="J7" s="18">
        <f t="shared" si="3"/>
        <v>3251.05</v>
      </c>
      <c r="K7" s="18">
        <f t="shared" si="4"/>
        <v>26303.95</v>
      </c>
    </row>
    <row r="8" spans="1:11" x14ac:dyDescent="0.25">
      <c r="A8" s="16">
        <v>4</v>
      </c>
      <c r="B8" s="5" t="s">
        <v>49</v>
      </c>
      <c r="C8" s="17" t="s">
        <v>61</v>
      </c>
      <c r="D8" s="18">
        <f t="shared" si="0"/>
        <v>15670</v>
      </c>
      <c r="E8" s="19">
        <v>4</v>
      </c>
      <c r="F8" s="5" cm="1">
        <f t="array" ref="F8">_xlfn.IFS(
E8&lt;=5, 0.1,
E8&lt;=7, 0.15,
E8&lt;=10, 0.2,
E8&lt;=15, 0.25,
E8&gt;15, 0.3
)</f>
        <v>0.1</v>
      </c>
      <c r="G8" s="18">
        <f t="shared" si="1"/>
        <v>1567</v>
      </c>
      <c r="H8" s="18">
        <f t="shared" si="2"/>
        <v>17237</v>
      </c>
      <c r="I8" s="20" cm="1">
        <f t="array" ref="I8">_xlfn.IFS(
H8&lt;=20000, 0.08,
H8&lt;=30000, 0.11,
H8&lt;=35000, 0.13,
H8&gt;35000, 0.15
)</f>
        <v>0.08</v>
      </c>
      <c r="J8" s="18">
        <f t="shared" si="3"/>
        <v>1378.96</v>
      </c>
      <c r="K8" s="18">
        <f t="shared" si="4"/>
        <v>15858.04</v>
      </c>
    </row>
    <row r="9" spans="1:11" x14ac:dyDescent="0.25">
      <c r="A9" s="16">
        <v>5</v>
      </c>
      <c r="B9" s="5" t="s">
        <v>50</v>
      </c>
      <c r="C9" s="17" t="s">
        <v>64</v>
      </c>
      <c r="D9" s="18">
        <f t="shared" si="0"/>
        <v>29700</v>
      </c>
      <c r="E9" s="19">
        <v>16</v>
      </c>
      <c r="F9" s="5" cm="1">
        <f t="array" ref="F9">_xlfn.IFS(
E9&lt;=5, 0.1,
E9&lt;=7, 0.15,
E9&lt;=10, 0.2,
E9&lt;=15, 0.25,
E9&gt;15, 0.3
)</f>
        <v>0.3</v>
      </c>
      <c r="G9" s="18">
        <f t="shared" si="1"/>
        <v>8910</v>
      </c>
      <c r="H9" s="18">
        <f t="shared" si="2"/>
        <v>38610</v>
      </c>
      <c r="I9" s="20" cm="1">
        <f t="array" ref="I9">_xlfn.IFS(
H9&lt;=20000, 0.08,
H9&lt;=30000, 0.11,
H9&lt;=35000, 0.13,
H9&gt;35000, 0.15
)</f>
        <v>0.15</v>
      </c>
      <c r="J9" s="18">
        <f t="shared" si="3"/>
        <v>5791.5</v>
      </c>
      <c r="K9" s="18">
        <f t="shared" si="4"/>
        <v>32818.5</v>
      </c>
    </row>
    <row r="10" spans="1:11" x14ac:dyDescent="0.25">
      <c r="A10" s="16">
        <v>6</v>
      </c>
      <c r="B10" s="5" t="s">
        <v>51</v>
      </c>
      <c r="C10" s="17" t="s">
        <v>64</v>
      </c>
      <c r="D10" s="18">
        <f t="shared" si="0"/>
        <v>29700</v>
      </c>
      <c r="E10" s="19">
        <v>7</v>
      </c>
      <c r="F10" s="5" cm="1">
        <f t="array" ref="F10">_xlfn.IFS(
E10&lt;=5, 0.1,
E10&lt;=7, 0.15,
E10&lt;=10, 0.2,
E10&lt;=15, 0.25,
E10&gt;15, 0.3
)</f>
        <v>0.15</v>
      </c>
      <c r="G10" s="18">
        <f t="shared" si="1"/>
        <v>4455</v>
      </c>
      <c r="H10" s="18">
        <f t="shared" si="2"/>
        <v>34155</v>
      </c>
      <c r="I10" s="20" cm="1">
        <f t="array" ref="I10">_xlfn.IFS(
H10&lt;=20000, 0.08,
H10&lt;=30000, 0.11,
H10&lt;=35000, 0.13,
H10&gt;35000, 0.15
)</f>
        <v>0.13</v>
      </c>
      <c r="J10" s="18">
        <f t="shared" si="3"/>
        <v>4440.1500000000005</v>
      </c>
      <c r="K10" s="18">
        <f t="shared" si="4"/>
        <v>29714.85</v>
      </c>
    </row>
    <row r="11" spans="1:11" x14ac:dyDescent="0.25">
      <c r="A11" s="16">
        <v>7</v>
      </c>
      <c r="B11" s="5" t="s">
        <v>52</v>
      </c>
      <c r="C11" s="17" t="s">
        <v>63</v>
      </c>
      <c r="D11" s="18">
        <f t="shared" si="0"/>
        <v>25700</v>
      </c>
      <c r="E11" s="19">
        <v>8</v>
      </c>
      <c r="F11" s="5" cm="1">
        <f t="array" ref="F11">_xlfn.IFS(
E11&lt;=5, 0.1,
E11&lt;=7, 0.15,
E11&lt;=10, 0.2,
E11&lt;=15, 0.25,
E11&gt;15, 0.3
)</f>
        <v>0.2</v>
      </c>
      <c r="G11" s="18">
        <f t="shared" si="1"/>
        <v>5140</v>
      </c>
      <c r="H11" s="18">
        <f t="shared" si="2"/>
        <v>30840</v>
      </c>
      <c r="I11" s="20" cm="1">
        <f t="array" ref="I11">_xlfn.IFS(
H11&lt;=20000, 0.08,
H11&lt;=30000, 0.11,
H11&lt;=35000, 0.13,
H11&gt;35000, 0.15
)</f>
        <v>0.13</v>
      </c>
      <c r="J11" s="18">
        <f t="shared" si="3"/>
        <v>4009.2000000000003</v>
      </c>
      <c r="K11" s="18">
        <f t="shared" si="4"/>
        <v>26830.799999999999</v>
      </c>
    </row>
    <row r="12" spans="1:11" x14ac:dyDescent="0.25">
      <c r="A12" s="16">
        <v>8</v>
      </c>
      <c r="B12" s="5" t="s">
        <v>53</v>
      </c>
      <c r="C12" s="17" t="s">
        <v>63</v>
      </c>
      <c r="D12" s="18">
        <f t="shared" si="0"/>
        <v>25700</v>
      </c>
      <c r="E12" s="19">
        <v>3</v>
      </c>
      <c r="F12" s="5" cm="1">
        <f t="array" ref="F12">_xlfn.IFS(
E12&lt;=5, 0.1,
E12&lt;=7, 0.15,
E12&lt;=10, 0.2,
E12&lt;=15, 0.25,
E12&gt;15, 0.3
)</f>
        <v>0.1</v>
      </c>
      <c r="G12" s="18">
        <f t="shared" si="1"/>
        <v>2570</v>
      </c>
      <c r="H12" s="18">
        <f t="shared" si="2"/>
        <v>28270</v>
      </c>
      <c r="I12" s="20" cm="1">
        <f t="array" ref="I12">_xlfn.IFS(
H12&lt;=20000, 0.08,
H12&lt;=30000, 0.11,
H12&lt;=35000, 0.13,
H12&gt;35000, 0.15
)</f>
        <v>0.11</v>
      </c>
      <c r="J12" s="18">
        <f t="shared" si="3"/>
        <v>3109.7</v>
      </c>
      <c r="K12" s="18">
        <f t="shared" si="4"/>
        <v>25160.3</v>
      </c>
    </row>
    <row r="13" spans="1:11" x14ac:dyDescent="0.25">
      <c r="A13" s="16">
        <v>9</v>
      </c>
      <c r="B13" s="5" t="s">
        <v>54</v>
      </c>
      <c r="C13" s="17" t="s">
        <v>65</v>
      </c>
      <c r="D13" s="18">
        <f t="shared" si="0"/>
        <v>31500</v>
      </c>
      <c r="E13" s="19">
        <v>10</v>
      </c>
      <c r="F13" s="5" cm="1">
        <f t="array" ref="F13">_xlfn.IFS(
E13&lt;=5, 0.1,
E13&lt;=7, 0.15,
E13&lt;=10, 0.2,
E13&lt;=15, 0.25,
E13&gt;15, 0.3
)</f>
        <v>0.2</v>
      </c>
      <c r="G13" s="18">
        <f t="shared" si="1"/>
        <v>6300</v>
      </c>
      <c r="H13" s="18">
        <f t="shared" si="2"/>
        <v>37800</v>
      </c>
      <c r="I13" s="20" cm="1">
        <f t="array" ref="I13">_xlfn.IFS(
H13&lt;=20000, 0.08,
H13&lt;=30000, 0.11,
H13&lt;=35000, 0.13,
H13&gt;35000, 0.15
)</f>
        <v>0.15</v>
      </c>
      <c r="J13" s="18">
        <f t="shared" si="3"/>
        <v>5670</v>
      </c>
      <c r="K13" s="18">
        <f t="shared" si="4"/>
        <v>32130</v>
      </c>
    </row>
    <row r="14" spans="1:11" x14ac:dyDescent="0.25">
      <c r="A14" s="16">
        <v>10</v>
      </c>
      <c r="B14" s="5" t="s">
        <v>55</v>
      </c>
      <c r="C14" s="17" t="s">
        <v>64</v>
      </c>
      <c r="D14" s="18">
        <f t="shared" si="0"/>
        <v>29700</v>
      </c>
      <c r="E14" s="19">
        <v>12</v>
      </c>
      <c r="F14" s="5" cm="1">
        <f t="array" ref="F14">_xlfn.IFS(
E14&lt;=5, 0.1,
E14&lt;=7, 0.15,
E14&lt;=10, 0.2,
E14&lt;=15, 0.25,
E14&gt;15, 0.3
)</f>
        <v>0.25</v>
      </c>
      <c r="G14" s="18">
        <f t="shared" si="1"/>
        <v>7425</v>
      </c>
      <c r="H14" s="18">
        <f t="shared" si="2"/>
        <v>37125</v>
      </c>
      <c r="I14" s="20" cm="1">
        <f t="array" ref="I14">_xlfn.IFS(
H14&lt;=20000, 0.08,
H14&lt;=30000, 0.11,
H14&lt;=35000, 0.13,
H14&gt;35000, 0.15
)</f>
        <v>0.15</v>
      </c>
      <c r="J14" s="18">
        <f t="shared" si="3"/>
        <v>5568.75</v>
      </c>
      <c r="K14" s="18">
        <f t="shared" si="4"/>
        <v>31556.25</v>
      </c>
    </row>
    <row r="15" spans="1:11" x14ac:dyDescent="0.25">
      <c r="A15" s="16">
        <v>11</v>
      </c>
      <c r="B15" s="5" t="s">
        <v>56</v>
      </c>
      <c r="C15" s="17" t="s">
        <v>62</v>
      </c>
      <c r="D15" s="18">
        <f t="shared" si="0"/>
        <v>28500</v>
      </c>
      <c r="E15" s="19">
        <v>6</v>
      </c>
      <c r="F15" s="5" cm="1">
        <f t="array" ref="F15">_xlfn.IFS(
E15&lt;=5, 0.1,
E15&lt;=7, 0.15,
E15&lt;=10, 0.2,
E15&lt;=15, 0.25,
E15&gt;15, 0.3
)</f>
        <v>0.15</v>
      </c>
      <c r="G15" s="18">
        <f t="shared" si="1"/>
        <v>4275</v>
      </c>
      <c r="H15" s="18">
        <f t="shared" si="2"/>
        <v>32775</v>
      </c>
      <c r="I15" s="20" cm="1">
        <f t="array" ref="I15">_xlfn.IFS(
H15&lt;=20000, 0.08,
H15&lt;=30000, 0.11,
H15&lt;=35000, 0.13,
H15&gt;35000, 0.15
)</f>
        <v>0.13</v>
      </c>
      <c r="J15" s="18">
        <f t="shared" si="3"/>
        <v>4260.75</v>
      </c>
      <c r="K15" s="18">
        <f t="shared" si="4"/>
        <v>28514.25</v>
      </c>
    </row>
    <row r="16" spans="1:11" x14ac:dyDescent="0.25">
      <c r="A16" s="16">
        <v>12</v>
      </c>
      <c r="B16" s="5" t="s">
        <v>57</v>
      </c>
      <c r="C16" s="17" t="s">
        <v>61</v>
      </c>
      <c r="D16" s="18">
        <f t="shared" si="0"/>
        <v>15670</v>
      </c>
      <c r="E16" s="19">
        <v>8</v>
      </c>
      <c r="F16" s="5" cm="1">
        <f t="array" ref="F16">_xlfn.IFS(
E16&lt;=5, 0.1,
E16&lt;=7, 0.15,
E16&lt;=10, 0.2,
E16&lt;=15, 0.25,
E16&gt;15, 0.3
)</f>
        <v>0.2</v>
      </c>
      <c r="G16" s="18">
        <f t="shared" si="1"/>
        <v>3134</v>
      </c>
      <c r="H16" s="18">
        <f t="shared" si="2"/>
        <v>18804</v>
      </c>
      <c r="I16" s="20" cm="1">
        <f t="array" ref="I16">_xlfn.IFS(
H16&lt;=20000, 0.08,
H16&lt;=30000, 0.11,
H16&lt;=35000, 0.13,
H16&gt;35000, 0.15
)</f>
        <v>0.08</v>
      </c>
      <c r="J16" s="18">
        <f t="shared" si="3"/>
        <v>1504.32</v>
      </c>
      <c r="K16" s="18">
        <f t="shared" si="4"/>
        <v>17299.68</v>
      </c>
    </row>
    <row r="17" spans="1:11" x14ac:dyDescent="0.25">
      <c r="A17" s="16">
        <v>13</v>
      </c>
      <c r="B17" s="5" t="s">
        <v>58</v>
      </c>
      <c r="C17" s="17" t="s">
        <v>64</v>
      </c>
      <c r="D17" s="18">
        <f t="shared" si="0"/>
        <v>29700</v>
      </c>
      <c r="E17" s="19">
        <v>7</v>
      </c>
      <c r="F17" s="5" cm="1">
        <f t="array" ref="F17">_xlfn.IFS(
E17&lt;=5, 0.1,
E17&lt;=7, 0.15,
E17&lt;=10, 0.2,
E17&lt;=15, 0.25,
E17&gt;15, 0.3
)</f>
        <v>0.15</v>
      </c>
      <c r="G17" s="18">
        <f t="shared" si="1"/>
        <v>4455</v>
      </c>
      <c r="H17" s="18">
        <f t="shared" si="2"/>
        <v>34155</v>
      </c>
      <c r="I17" s="20" cm="1">
        <f t="array" ref="I17">_xlfn.IFS(
H17&lt;=20000, 0.08,
H17&lt;=30000, 0.11,
H17&lt;=35000, 0.13,
H17&gt;35000, 0.15
)</f>
        <v>0.13</v>
      </c>
      <c r="J17" s="18">
        <f t="shared" si="3"/>
        <v>4440.1500000000005</v>
      </c>
      <c r="K17" s="18">
        <f t="shared" si="4"/>
        <v>29714.85</v>
      </c>
    </row>
    <row r="18" spans="1:11" x14ac:dyDescent="0.25">
      <c r="A18" s="16">
        <v>14</v>
      </c>
      <c r="B18" s="5" t="s">
        <v>59</v>
      </c>
      <c r="C18" s="17" t="s">
        <v>63</v>
      </c>
      <c r="D18" s="18">
        <f t="shared" si="0"/>
        <v>25700</v>
      </c>
      <c r="E18" s="19">
        <v>2</v>
      </c>
      <c r="F18" s="5" cm="1">
        <f t="array" ref="F18">_xlfn.IFS(
E18&lt;=5, 0.1,
E18&lt;=7, 0.15,
E18&lt;=10, 0.2,
E18&lt;=15, 0.25,
E18&gt;15, 0.3
)</f>
        <v>0.1</v>
      </c>
      <c r="G18" s="18">
        <f t="shared" si="1"/>
        <v>2570</v>
      </c>
      <c r="H18" s="18">
        <f t="shared" si="2"/>
        <v>28270</v>
      </c>
      <c r="I18" s="20" cm="1">
        <f t="array" ref="I18">_xlfn.IFS(
H18&lt;=20000, 0.08,
H18&lt;=30000, 0.11,
H18&lt;=35000, 0.13,
H18&gt;35000, 0.15
)</f>
        <v>0.11</v>
      </c>
      <c r="J18" s="18">
        <f t="shared" si="3"/>
        <v>3109.7</v>
      </c>
      <c r="K18" s="18">
        <f t="shared" si="4"/>
        <v>25160.3</v>
      </c>
    </row>
    <row r="19" spans="1:11" x14ac:dyDescent="0.25">
      <c r="A19" s="16">
        <v>15</v>
      </c>
      <c r="B19" s="5" t="s">
        <v>60</v>
      </c>
      <c r="C19" s="17" t="s">
        <v>62</v>
      </c>
      <c r="D19" s="18">
        <f t="shared" si="0"/>
        <v>28500</v>
      </c>
      <c r="E19" s="19">
        <v>14</v>
      </c>
      <c r="F19" s="5" cm="1">
        <f t="array" ref="F19">_xlfn.IFS(
E19&lt;=5, 0.1,
E19&lt;=7, 0.15,
E19&lt;=10, 0.2,
E19&lt;=15, 0.25,
E19&gt;15, 0.3
)</f>
        <v>0.25</v>
      </c>
      <c r="G19" s="18">
        <f t="shared" si="1"/>
        <v>7125</v>
      </c>
      <c r="H19" s="18">
        <f t="shared" si="2"/>
        <v>35625</v>
      </c>
      <c r="I19" s="20" cm="1">
        <f t="array" ref="I19">_xlfn.IFS(
H19&lt;=20000, 0.08,
H19&lt;=30000, 0.11,
H19&lt;=35000, 0.13,
H19&gt;35000, 0.15
)</f>
        <v>0.15</v>
      </c>
      <c r="J19" s="18">
        <f t="shared" si="3"/>
        <v>5343.75</v>
      </c>
      <c r="K19" s="18">
        <f t="shared" si="4"/>
        <v>30281.25</v>
      </c>
    </row>
  </sheetData>
  <mergeCells count="2">
    <mergeCell ref="A1:K1"/>
    <mergeCell ref="A2:K2"/>
  </mergeCells>
  <conditionalFormatting sqref="E5:E19">
    <cfRule type="cellIs" dxfId="1" priority="3" operator="lessThanOrEqual">
      <formula>5</formula>
    </cfRule>
    <cfRule type="cellIs" dxfId="2" priority="2" operator="between">
      <formula>5</formula>
      <formula>10</formula>
    </cfRule>
    <cfRule type="cellIs" dxfId="0" priority="1" operator="between">
      <formula>10</formula>
      <formula>15</formula>
    </cfRule>
  </conditionalFormatting>
  <dataValidations count="2">
    <dataValidation type="whole" operator="greaterThanOrEqual" allowBlank="1" showInputMessage="1" showErrorMessage="1" error="СТАЖ НЕ МОЖЕТ БЫТЬ ОТРИЦАТЕЛЬНЫМ!" sqref="E5:E19" xr:uid="{5501EA3C-8355-41FD-9B87-87AA116BE26A}">
      <formula1>0</formula1>
    </dataValidation>
    <dataValidation allowBlank="1" showInputMessage="1" showErrorMessage="1" promptTitle="ВНИМАНИЕ" prompt="БУДЬТЕ ВНИМАТЕЛЬНЫ ПРИ ВВОДЕ ТАРИФНОЙ СТАВКИ!" sqref="D5:D19" xr:uid="{301F3B01-6369-455D-A8D8-6DE103346B1A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Ведомость переоценки</vt:lpstr>
      <vt:lpstr>Отчетная ведомость</vt:lpstr>
      <vt:lpstr>Ведомость зарплаты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Савкин Никита</dc:creator>
  <cp:lastModifiedBy>Савкин Никита</cp:lastModifiedBy>
  <dcterms:created xsi:type="dcterms:W3CDTF">2025-11-30T10:48:08Z</dcterms:created>
  <dcterms:modified xsi:type="dcterms:W3CDTF">2025-11-30T15:02:54Z</dcterms:modified>
</cp:coreProperties>
</file>