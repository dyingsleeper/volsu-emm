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onDI\Downloads\Telegram Desktop\"/>
    </mc:Choice>
  </mc:AlternateContent>
  <xr:revisionPtr revIDLastSave="0" documentId="13_ncr:1_{F4376706-D8BF-429E-B0B7-71EE8ECEDE26}" xr6:coauthVersionLast="47" xr6:coauthVersionMax="47" xr10:uidLastSave="{00000000-0000-0000-0000-000000000000}"/>
  <bookViews>
    <workbookView xWindow="-120" yWindow="-120" windowWidth="29040" windowHeight="15840" xr2:uid="{0DA5EC3C-7659-49FB-BFEA-056017CC161F}"/>
  </bookViews>
  <sheets>
    <sheet name="Квартплата" sheetId="1" r:id="rId1"/>
    <sheet name="Распределение фонда зарплаты" sheetId="2" r:id="rId2"/>
    <sheet name="Сдельная зарплата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6" i="1" l="1"/>
  <c r="J12" i="1"/>
  <c r="J13" i="1"/>
  <c r="J14" i="1"/>
  <c r="J15" i="1"/>
  <c r="J11" i="1"/>
  <c r="E17" i="2"/>
  <c r="B17" i="2"/>
  <c r="B12" i="3"/>
  <c r="C12" i="3"/>
  <c r="D12" i="3"/>
  <c r="E7" i="3"/>
  <c r="E12" i="3" s="1"/>
  <c r="D7" i="3"/>
  <c r="F7" i="3" s="1"/>
  <c r="D8" i="3"/>
  <c r="E8" i="3" s="1"/>
  <c r="F8" i="3" s="1"/>
  <c r="D9" i="3"/>
  <c r="E9" i="3" s="1"/>
  <c r="F9" i="3" s="1"/>
  <c r="D10" i="3"/>
  <c r="E10" i="3" s="1"/>
  <c r="F10" i="3" s="1"/>
  <c r="D11" i="3"/>
  <c r="E11" i="3" s="1"/>
  <c r="F11" i="3" s="1"/>
  <c r="F17" i="2"/>
  <c r="G8" i="2" s="1"/>
  <c r="H8" i="2" s="1"/>
  <c r="F8" i="2"/>
  <c r="F9" i="2"/>
  <c r="F10" i="2"/>
  <c r="F11" i="2"/>
  <c r="F12" i="2"/>
  <c r="F13" i="2"/>
  <c r="F14" i="2"/>
  <c r="F15" i="2"/>
  <c r="F16" i="2"/>
  <c r="F7" i="2"/>
  <c r="D17" i="2"/>
  <c r="H12" i="1"/>
  <c r="G12" i="1"/>
  <c r="I12" i="1"/>
  <c r="G13" i="1"/>
  <c r="G16" i="1" s="1"/>
  <c r="H13" i="1"/>
  <c r="I13" i="1"/>
  <c r="I16" i="1" s="1"/>
  <c r="G14" i="1"/>
  <c r="H14" i="1"/>
  <c r="I14" i="1"/>
  <c r="G15" i="1"/>
  <c r="H15" i="1"/>
  <c r="I15" i="1"/>
  <c r="H11" i="1"/>
  <c r="H16" i="1" s="1"/>
  <c r="I11" i="1"/>
  <c r="G11" i="1"/>
  <c r="F16" i="1"/>
  <c r="E16" i="1"/>
  <c r="D16" i="1"/>
  <c r="H10" i="2" l="1"/>
  <c r="F12" i="3"/>
  <c r="G14" i="2"/>
  <c r="H14" i="2" s="1"/>
  <c r="G9" i="2"/>
  <c r="G13" i="2"/>
  <c r="H13" i="2" s="1"/>
  <c r="G10" i="2"/>
  <c r="G7" i="2"/>
  <c r="H7" i="2" s="1"/>
  <c r="G12" i="2"/>
  <c r="H12" i="2" s="1"/>
  <c r="G16" i="2"/>
  <c r="H16" i="2" s="1"/>
  <c r="G11" i="2"/>
  <c r="H11" i="2"/>
  <c r="G15" i="2"/>
  <c r="H15" i="2"/>
  <c r="H9" i="2"/>
  <c r="G17" i="2" l="1"/>
  <c r="H17" i="2"/>
</calcChain>
</file>

<file path=xl/sharedStrings.xml><?xml version="1.0" encoding="utf-8"?>
<sst xmlns="http://schemas.openxmlformats.org/spreadsheetml/2006/main" count="71" uniqueCount="59">
  <si>
    <t>Тарифы</t>
  </si>
  <si>
    <t>Телефон</t>
  </si>
  <si>
    <t>Газ</t>
  </si>
  <si>
    <t>Коммун. услуги</t>
  </si>
  <si>
    <t>отдельн.</t>
  </si>
  <si>
    <t>спаренн.</t>
  </si>
  <si>
    <t>без колонки</t>
  </si>
  <si>
    <t>с колонкой</t>
  </si>
  <si>
    <t>№ квартиры</t>
  </si>
  <si>
    <t>площадь, м²</t>
  </si>
  <si>
    <t>человек</t>
  </si>
  <si>
    <t>Удобства</t>
  </si>
  <si>
    <t>Оплата</t>
  </si>
  <si>
    <t>электрическая плита</t>
  </si>
  <si>
    <t>газовая колонка</t>
  </si>
  <si>
    <t>телефон (спар./отд.)</t>
  </si>
  <si>
    <t>коммунальные услуги</t>
  </si>
  <si>
    <t>газ</t>
  </si>
  <si>
    <t>телефон</t>
  </si>
  <si>
    <t>Итого</t>
  </si>
  <si>
    <t>+</t>
  </si>
  <si>
    <t>о</t>
  </si>
  <si>
    <t>с</t>
  </si>
  <si>
    <t>Всего</t>
  </si>
  <si>
    <t xml:space="preserve"> </t>
  </si>
  <si>
    <t>ДОХОД СОТРУДНИКОВ ЗА ОКТЯБРЬ</t>
  </si>
  <si>
    <t>Количество рабочих дней</t>
  </si>
  <si>
    <t>Фонд заработной платы</t>
  </si>
  <si>
    <t>Ф.И.О. работника</t>
  </si>
  <si>
    <t>Отработано дней</t>
  </si>
  <si>
    <t>Разряд</t>
  </si>
  <si>
    <t>КТУ</t>
  </si>
  <si>
    <t>Оклад</t>
  </si>
  <si>
    <t>Начислено</t>
  </si>
  <si>
    <t>Надбавка</t>
  </si>
  <si>
    <t>Новая зарплата</t>
  </si>
  <si>
    <t>Антонов Р.И.</t>
  </si>
  <si>
    <t>Борисов И.П.</t>
  </si>
  <si>
    <t>Иванов В.А.</t>
  </si>
  <si>
    <t>Крючков Н.Р.</t>
  </si>
  <si>
    <t>Новиков Л.Д.</t>
  </si>
  <si>
    <t>Огарев Н.И.</t>
  </si>
  <si>
    <t>Петров К.О.</t>
  </si>
  <si>
    <t>Сидоров И.Н.</t>
  </si>
  <si>
    <t>Тимофеев Н.Н.</t>
  </si>
  <si>
    <t>Федоров А.Н.</t>
  </si>
  <si>
    <t>Налог до 15000 р.</t>
  </si>
  <si>
    <t>Налог от 15000 р.</t>
  </si>
  <si>
    <t>Стоимость работы</t>
  </si>
  <si>
    <t>Стоимость детали</t>
  </si>
  <si>
    <t>СДЕЛЬНАЯ ЗАРАБОТНАЯ ПЛАТА</t>
  </si>
  <si>
    <t>Работник</t>
  </si>
  <si>
    <t>Обработано деталей</t>
  </si>
  <si>
    <t>Деталей брака</t>
  </si>
  <si>
    <t>Зарплата</t>
  </si>
  <si>
    <t>Сумма налога</t>
  </si>
  <si>
    <t>Сумма на руки</t>
  </si>
  <si>
    <t>Ковалев И.Р.</t>
  </si>
  <si>
    <t>Федоров Г.Д.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</si>
</sst>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₽&quot;_-;\-* #,##0.00\ &quot;₽&quot;_-;_-* &quot;-&quot;??\ &quot;₽&quot;_-;_-@_-"/>
    <numFmt numFmtId="164" formatCode="_-* #,##0.00\ [$₽-419]_-;\-* #,##0.00\ [$₽-419]_-;_-* &quot;-&quot;??\ [$₽-419]_-;_-@_-"/>
    <numFmt numFmtId="165" formatCode="#,##0.00\ &quot;₽&quot;"/>
  </numFmts>
  <fonts count="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6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 textRotation="90" wrapText="1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0" fillId="0" borderId="1" xfId="0" applyNumberFormat="1" applyBorder="1" applyAlignment="1">
      <alignment vertical="center"/>
    </xf>
    <xf numFmtId="164" fontId="0" fillId="0" borderId="1" xfId="0" applyNumberFormat="1" applyBorder="1"/>
    <xf numFmtId="0" fontId="0" fillId="0" borderId="1" xfId="0" applyBorder="1" applyAlignment="1">
      <alignment horizontal="center" vertical="center" wrapText="1"/>
    </xf>
    <xf numFmtId="165" fontId="2" fillId="0" borderId="3" xfId="1" applyNumberFormat="1" applyFont="1" applyBorder="1"/>
    <xf numFmtId="165" fontId="0" fillId="0" borderId="1" xfId="0" applyNumberFormat="1" applyBorder="1"/>
    <xf numFmtId="9" fontId="3" fillId="0" borderId="1" xfId="0" applyNumberFormat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textRotation="90" wrapText="1"/>
    </xf>
    <xf numFmtId="0" fontId="2" fillId="0" borderId="1" xfId="0" applyFont="1" applyBorder="1"/>
    <xf numFmtId="44" fontId="0" fillId="0" borderId="1" xfId="1" applyFont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textRotation="90" wrapText="1"/>
    </xf>
    <xf numFmtId="0" fontId="2" fillId="0" borderId="2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Денежный" xfId="1" builtinId="4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Зарплаты</a:t>
            </a:r>
          </a:p>
          <a:p>
            <a:pPr>
              <a:defRPr/>
            </a:pPr>
            <a:endParaRPr lang="ru-RU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pieChart>
        <c:varyColors val="1"/>
        <c:ser>
          <c:idx val="0"/>
          <c:order val="0"/>
          <c:explosion val="1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2B46-4C79-9E7B-14DBF67E8BF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2B46-4C79-9E7B-14DBF67E8BF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02D-47A3-9AE6-DDDF0F1C88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B46-4C79-9E7B-14DBF67E8BF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B46-4C79-9E7B-14DBF67E8BF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2B46-4C79-9E7B-14DBF67E8BF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B46-4C79-9E7B-14DBF67E8BF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F02D-47A3-9AE6-DDDF0F1C88D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2B46-4C79-9E7B-14DBF67E8BF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F02D-47A3-9AE6-DDDF0F1C88DD}"/>
              </c:ext>
            </c:extLst>
          </c:dPt>
          <c:dLbls>
            <c:dLbl>
              <c:idx val="0"/>
              <c:layout>
                <c:manualLayout>
                  <c:x val="4.4184601924759405E-2"/>
                  <c:y val="-1.190580344123672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B46-4C79-9E7B-14DBF67E8BF6}"/>
                </c:ext>
              </c:extLst>
            </c:dLbl>
            <c:dLbl>
              <c:idx val="1"/>
              <c:layout>
                <c:manualLayout>
                  <c:x val="1.5681430446194227E-2"/>
                  <c:y val="4.41083406240886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B46-4C79-9E7B-14DBF67E8BF6}"/>
                </c:ext>
              </c:extLst>
            </c:dLbl>
            <c:dLbl>
              <c:idx val="3"/>
              <c:layout>
                <c:manualLayout>
                  <c:x val="1.5112642169728784E-2"/>
                  <c:y val="-2.29086468358121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B46-4C79-9E7B-14DBF67E8BF6}"/>
                </c:ext>
              </c:extLst>
            </c:dLbl>
            <c:dLbl>
              <c:idx val="4"/>
              <c:layout>
                <c:manualLayout>
                  <c:x val="3.2006452318460166E-2"/>
                  <c:y val="-3.80905511811023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B46-4C79-9E7B-14DBF67E8BF6}"/>
                </c:ext>
              </c:extLst>
            </c:dLbl>
            <c:dLbl>
              <c:idx val="5"/>
              <c:layout>
                <c:manualLayout>
                  <c:x val="-2.0266185476815399E-2"/>
                  <c:y val="-4.730971128608923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2B46-4C79-9E7B-14DBF67E8BF6}"/>
                </c:ext>
              </c:extLst>
            </c:dLbl>
            <c:dLbl>
              <c:idx val="6"/>
              <c:layout>
                <c:manualLayout>
                  <c:x val="-5.2339238845144293E-3"/>
                  <c:y val="-1.337270341207357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B46-4C79-9E7B-14DBF67E8BF6}"/>
                </c:ext>
              </c:extLst>
            </c:dLbl>
            <c:dLbl>
              <c:idx val="8"/>
              <c:layout>
                <c:manualLayout>
                  <c:x val="-1.3868438320209973E-2"/>
                  <c:y val="-2.18613298337707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2B46-4C79-9E7B-14DBF67E8B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ru-RU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'Распределение фонда зарплаты'!$A$7:$A$16</c:f>
              <c:strCache>
                <c:ptCount val="10"/>
                <c:pt idx="0">
                  <c:v>Антонов Р.И.</c:v>
                </c:pt>
                <c:pt idx="1">
                  <c:v>Борисов И.П.</c:v>
                </c:pt>
                <c:pt idx="2">
                  <c:v>Иванов В.А.</c:v>
                </c:pt>
                <c:pt idx="3">
                  <c:v>Крючков Н.Р.</c:v>
                </c:pt>
                <c:pt idx="4">
                  <c:v>Новиков Л.Д.</c:v>
                </c:pt>
                <c:pt idx="5">
                  <c:v>Огарев Н.И.</c:v>
                </c:pt>
                <c:pt idx="6">
                  <c:v>Петров К.О.</c:v>
                </c:pt>
                <c:pt idx="7">
                  <c:v>Сидоров И.Н.</c:v>
                </c:pt>
                <c:pt idx="8">
                  <c:v>Тимофеев Н.Н.</c:v>
                </c:pt>
                <c:pt idx="9">
                  <c:v>Федоров А.Н.</c:v>
                </c:pt>
              </c:strCache>
            </c:strRef>
          </c:cat>
          <c:val>
            <c:numRef>
              <c:f>'Распределение фонда зарплаты'!$H$7:$H$16</c:f>
              <c:numCache>
                <c:formatCode>_-* #\ ##0.00\ [$₽-419]_-;\-* #\ ##0.00\ [$₽-419]_-;_-* "-"??\ [$₽-419]_-;_-@_-</c:formatCode>
                <c:ptCount val="10"/>
                <c:pt idx="0">
                  <c:v>40882.016422129491</c:v>
                </c:pt>
                <c:pt idx="1">
                  <c:v>45134.607618791226</c:v>
                </c:pt>
                <c:pt idx="2">
                  <c:v>31072.486202719072</c:v>
                </c:pt>
                <c:pt idx="3">
                  <c:v>34890.294790685148</c:v>
                </c:pt>
                <c:pt idx="4">
                  <c:v>28450.329788666037</c:v>
                </c:pt>
                <c:pt idx="5">
                  <c:v>17657.154394938752</c:v>
                </c:pt>
                <c:pt idx="6">
                  <c:v>13627.338807376498</c:v>
                </c:pt>
                <c:pt idx="7">
                  <c:v>29428.590658231253</c:v>
                </c:pt>
                <c:pt idx="8">
                  <c:v>23966.886525777358</c:v>
                </c:pt>
                <c:pt idx="9">
                  <c:v>34890.294790685148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46-4C79-9E7B-14DBF67E8B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Сдельная заработная плата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Зарплата</c:v>
          </c:tx>
          <c:spPr>
            <a:solidFill>
              <a:schemeClr val="accent1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'Сдельная зарплата'!$A$7:$A$11</c:f>
              <c:strCache>
                <c:ptCount val="5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</c:strCache>
            </c:strRef>
          </c:cat>
          <c:val>
            <c:numRef>
              <c:f>'Сдельная зарплата'!$D$7:$D$11</c:f>
              <c:numCache>
                <c:formatCode>#\ ##0.00\ "₽"</c:formatCode>
                <c:ptCount val="5"/>
                <c:pt idx="0">
                  <c:v>14525</c:v>
                </c:pt>
                <c:pt idx="1">
                  <c:v>15875</c:v>
                </c:pt>
                <c:pt idx="2">
                  <c:v>14850</c:v>
                </c:pt>
                <c:pt idx="3">
                  <c:v>17600</c:v>
                </c:pt>
                <c:pt idx="4">
                  <c:v>13150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33-49A9-A078-8D2DC4C228DD}"/>
            </c:ext>
          </c:extLst>
        </c:ser>
        <c:ser>
          <c:idx val="1"/>
          <c:order val="1"/>
          <c:tx>
            <c:v>Сумма налога</c:v>
          </c:tx>
          <c:spPr>
            <a:solidFill>
              <a:schemeClr val="accent2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'Сдельная зарплата'!$A$7:$A$11</c:f>
              <c:strCache>
                <c:ptCount val="5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</c:strCache>
            </c:strRef>
          </c:cat>
          <c:val>
            <c:numRef>
              <c:f>'Сдельная зарплата'!$E$7:$E$11</c:f>
              <c:numCache>
                <c:formatCode>#\ ##0.00\ "₽"</c:formatCode>
                <c:ptCount val="5"/>
                <c:pt idx="0">
                  <c:v>1888.25</c:v>
                </c:pt>
                <c:pt idx="1">
                  <c:v>3175</c:v>
                </c:pt>
                <c:pt idx="2">
                  <c:v>1930.5</c:v>
                </c:pt>
                <c:pt idx="3">
                  <c:v>3520</c:v>
                </c:pt>
                <c:pt idx="4">
                  <c:v>1709.5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33-49A9-A078-8D2DC4C228DD}"/>
            </c:ext>
          </c:extLst>
        </c:ser>
        <c:ser>
          <c:idx val="2"/>
          <c:order val="2"/>
          <c:tx>
            <c:v>Сумма на руки</c:v>
          </c:tx>
          <c:spPr>
            <a:solidFill>
              <a:schemeClr val="accent3"/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'Сдельная зарплата'!$A$7:$A$11</c:f>
              <c:strCache>
                <c:ptCount val="5"/>
                <c:pt idx="0">
                  <c:v>Иванов В.А.</c:v>
                </c:pt>
                <c:pt idx="1">
                  <c:v>Ковалев И.Р.</c:v>
                </c:pt>
                <c:pt idx="2">
                  <c:v>Петров К.О.</c:v>
                </c:pt>
                <c:pt idx="3">
                  <c:v>Сидоров И.Н.</c:v>
                </c:pt>
                <c:pt idx="4">
                  <c:v>Федоров Г.Д.</c:v>
                </c:pt>
              </c:strCache>
            </c:strRef>
          </c:cat>
          <c:val>
            <c:numRef>
              <c:f>'Сдельная зарплата'!$F$7:$F$11</c:f>
              <c:numCache>
                <c:formatCode>#\ ##0.00\ "₽"</c:formatCode>
                <c:ptCount val="5"/>
                <c:pt idx="0">
                  <c:v>12636.75</c:v>
                </c:pt>
                <c:pt idx="1">
                  <c:v>12700</c:v>
                </c:pt>
                <c:pt idx="2">
                  <c:v>12919.5</c:v>
                </c:pt>
                <c:pt idx="3">
                  <c:v>14080</c:v>
                </c:pt>
                <c:pt idx="4">
                  <c:v>11440.5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633-49A9-A078-8D2DC4C22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803992496"/>
        <c:axId val="803996096"/>
      </c:barChart>
      <c:catAx>
        <c:axId val="80399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3996096"/>
        <c:crosses val="autoZero"/>
        <c:auto val="1"/>
        <c:lblAlgn val="ctr"/>
        <c:lblOffset val="100"/>
        <c:noMultiLvlLbl val="0"/>
      </c:catAx>
      <c:valAx>
        <c:axId val="803996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₽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803992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581025</xdr:colOff>
      <xdr:row>4</xdr:row>
      <xdr:rowOff>176212</xdr:rowOff>
    </xdr:from>
    <xdr:to>
      <xdr:col>16</xdr:col>
      <xdr:colOff>276225</xdr:colOff>
      <xdr:row>15</xdr:row>
      <xdr:rowOff>42862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BA766180-3EE0-F18C-C212-141C5886A73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404812</xdr:colOff>
      <xdr:row>4</xdr:row>
      <xdr:rowOff>176212</xdr:rowOff>
    </xdr:from>
    <xdr:to>
      <xdr:col>14</xdr:col>
      <xdr:colOff>100012</xdr:colOff>
      <xdr:row>16</xdr:row>
      <xdr:rowOff>90487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D2A50EC5-439C-9A4D-A875-71DD586E09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C7B1D-546C-4542-ABEE-AEEB3E068F8A}">
  <dimension ref="A1:J16"/>
  <sheetViews>
    <sheetView tabSelected="1" workbookViewId="0">
      <selection activeCell="B3" sqref="B3"/>
    </sheetView>
  </sheetViews>
  <sheetFormatPr defaultRowHeight="15" x14ac:dyDescent="0.25"/>
  <cols>
    <col min="1" max="1" width="11.140625" customWidth="1"/>
    <col min="2" max="2" width="12.28515625" bestFit="1" customWidth="1"/>
    <col min="3" max="3" width="9.5703125" bestFit="1" customWidth="1"/>
    <col min="7" max="7" width="12" bestFit="1" customWidth="1"/>
    <col min="8" max="8" width="11" bestFit="1" customWidth="1"/>
    <col min="9" max="9" width="9.5703125" bestFit="1" customWidth="1"/>
    <col min="10" max="10" width="12" bestFit="1" customWidth="1"/>
  </cols>
  <sheetData>
    <row r="1" spans="1:10" x14ac:dyDescent="0.25">
      <c r="A1" s="22" t="s">
        <v>0</v>
      </c>
      <c r="B1" s="22"/>
      <c r="C1" s="22"/>
    </row>
    <row r="2" spans="1:10" x14ac:dyDescent="0.25">
      <c r="A2" s="20" t="s">
        <v>1</v>
      </c>
      <c r="B2" s="2" t="s">
        <v>4</v>
      </c>
      <c r="C2" s="7">
        <v>300</v>
      </c>
    </row>
    <row r="3" spans="1:10" x14ac:dyDescent="0.25">
      <c r="A3" s="20"/>
      <c r="B3" s="2" t="s">
        <v>5</v>
      </c>
      <c r="C3" s="7">
        <v>250</v>
      </c>
    </row>
    <row r="4" spans="1:10" x14ac:dyDescent="0.25">
      <c r="A4" s="20" t="s">
        <v>2</v>
      </c>
      <c r="B4" s="2" t="s">
        <v>6</v>
      </c>
      <c r="C4" s="7">
        <v>70</v>
      </c>
    </row>
    <row r="5" spans="1:10" x14ac:dyDescent="0.25">
      <c r="A5" s="20"/>
      <c r="B5" s="2" t="s">
        <v>7</v>
      </c>
      <c r="C5" s="7">
        <v>95</v>
      </c>
    </row>
    <row r="6" spans="1:10" x14ac:dyDescent="0.25">
      <c r="A6" s="21" t="s">
        <v>3</v>
      </c>
      <c r="B6" s="2" t="s">
        <v>6</v>
      </c>
      <c r="C6" s="7">
        <v>50</v>
      </c>
    </row>
    <row r="7" spans="1:10" x14ac:dyDescent="0.25">
      <c r="A7" s="21"/>
      <c r="B7" s="2" t="s">
        <v>7</v>
      </c>
      <c r="C7" s="3">
        <v>0.1</v>
      </c>
    </row>
    <row r="8" spans="1:10" x14ac:dyDescent="0.25">
      <c r="A8" s="19" t="s">
        <v>24</v>
      </c>
      <c r="B8" s="19"/>
      <c r="C8" s="19"/>
      <c r="D8" s="19"/>
      <c r="E8" s="19"/>
      <c r="F8" s="19"/>
      <c r="G8" s="19"/>
      <c r="H8" s="19"/>
      <c r="I8" s="19"/>
      <c r="J8" s="19"/>
    </row>
    <row r="9" spans="1:10" x14ac:dyDescent="0.25">
      <c r="A9" s="21" t="s">
        <v>8</v>
      </c>
      <c r="B9" s="20" t="s">
        <v>9</v>
      </c>
      <c r="C9" s="20" t="s">
        <v>10</v>
      </c>
      <c r="D9" s="17" t="s">
        <v>11</v>
      </c>
      <c r="E9" s="17"/>
      <c r="F9" s="17"/>
      <c r="G9" s="17" t="s">
        <v>12</v>
      </c>
      <c r="H9" s="17"/>
      <c r="I9" s="17"/>
      <c r="J9" s="18" t="s">
        <v>19</v>
      </c>
    </row>
    <row r="10" spans="1:10" ht="90.75" customHeight="1" x14ac:dyDescent="0.25">
      <c r="A10" s="21"/>
      <c r="B10" s="20"/>
      <c r="C10" s="20"/>
      <c r="D10" s="4" t="s">
        <v>13</v>
      </c>
      <c r="E10" s="4" t="s">
        <v>14</v>
      </c>
      <c r="F10" s="4" t="s">
        <v>15</v>
      </c>
      <c r="G10" s="4" t="s">
        <v>16</v>
      </c>
      <c r="H10" s="4" t="s">
        <v>17</v>
      </c>
      <c r="I10" s="4" t="s">
        <v>18</v>
      </c>
      <c r="J10" s="18"/>
    </row>
    <row r="11" spans="1:10" x14ac:dyDescent="0.25">
      <c r="A11" s="5">
        <v>1</v>
      </c>
      <c r="B11" s="5">
        <v>100</v>
      </c>
      <c r="C11" s="5">
        <v>7</v>
      </c>
      <c r="D11" s="5"/>
      <c r="E11" s="5" t="s">
        <v>20</v>
      </c>
      <c r="F11" s="5" t="s">
        <v>21</v>
      </c>
      <c r="G11" s="8">
        <f xml:space="preserve"> B11*$C$6*IF(E11="+",1+$C$7,1)</f>
        <v>5500</v>
      </c>
      <c r="H11" s="8">
        <f xml:space="preserve"> IF(D11&lt;&gt;"+",1,0)*C11*IF(E11="+",$C$5,$C$4)</f>
        <v>665</v>
      </c>
      <c r="I11" s="8">
        <f xml:space="preserve"> IF(F11="о",$C$2,IF(F11="с",$C$3,0))</f>
        <v>300</v>
      </c>
      <c r="J11" s="8">
        <f>SUM(G11:I11)</f>
        <v>6465</v>
      </c>
    </row>
    <row r="12" spans="1:10" x14ac:dyDescent="0.25">
      <c r="A12" s="5">
        <v>2</v>
      </c>
      <c r="B12" s="5">
        <v>60</v>
      </c>
      <c r="C12" s="5">
        <v>3</v>
      </c>
      <c r="D12" s="5" t="s">
        <v>20</v>
      </c>
      <c r="E12" s="5"/>
      <c r="F12" s="5" t="s">
        <v>22</v>
      </c>
      <c r="G12" s="8">
        <f t="shared" ref="G12:G15" si="0" xml:space="preserve"> B12*$C$6*IF(E12="+",1+$C$7,1)</f>
        <v>3000</v>
      </c>
      <c r="H12" s="8">
        <f xml:space="preserve"> IF(D12&lt;&gt;"+",1,0)*C12*IF(E12="+",$C$5,$C$4)</f>
        <v>0</v>
      </c>
      <c r="I12" s="8">
        <f t="shared" ref="I12:I15" si="1" xml:space="preserve"> IF(F12="о",$C$2,IF(F12="с",$C$3,0))</f>
        <v>250</v>
      </c>
      <c r="J12" s="8">
        <f t="shared" ref="J12:J15" si="2">SUM(G12:I12)</f>
        <v>3250</v>
      </c>
    </row>
    <row r="13" spans="1:10" x14ac:dyDescent="0.25">
      <c r="A13" s="5">
        <v>3</v>
      </c>
      <c r="B13" s="5">
        <v>70</v>
      </c>
      <c r="C13" s="5">
        <v>4</v>
      </c>
      <c r="D13" s="5"/>
      <c r="E13" s="5" t="s">
        <v>20</v>
      </c>
      <c r="F13" s="5"/>
      <c r="G13" s="8">
        <f t="shared" si="0"/>
        <v>3850.0000000000005</v>
      </c>
      <c r="H13" s="8">
        <f t="shared" ref="H13:H15" si="3" xml:space="preserve"> IF(D13&lt;&gt;"+",1,0)*C13*IF(E13="+",$C$5,$C$4)</f>
        <v>380</v>
      </c>
      <c r="I13" s="8">
        <f t="shared" si="1"/>
        <v>0</v>
      </c>
      <c r="J13" s="8">
        <f t="shared" si="2"/>
        <v>4230</v>
      </c>
    </row>
    <row r="14" spans="1:10" x14ac:dyDescent="0.25">
      <c r="A14" s="5">
        <v>4</v>
      </c>
      <c r="B14" s="5">
        <v>80</v>
      </c>
      <c r="C14" s="5">
        <v>3</v>
      </c>
      <c r="D14" s="5" t="s">
        <v>20</v>
      </c>
      <c r="E14" s="5"/>
      <c r="F14" s="5" t="s">
        <v>21</v>
      </c>
      <c r="G14" s="8">
        <f t="shared" si="0"/>
        <v>4000</v>
      </c>
      <c r="H14" s="8">
        <f t="shared" si="3"/>
        <v>0</v>
      </c>
      <c r="I14" s="8">
        <f t="shared" si="1"/>
        <v>300</v>
      </c>
      <c r="J14" s="8">
        <f t="shared" si="2"/>
        <v>4300</v>
      </c>
    </row>
    <row r="15" spans="1:10" x14ac:dyDescent="0.25">
      <c r="A15" s="5">
        <v>5</v>
      </c>
      <c r="B15" s="5">
        <v>90</v>
      </c>
      <c r="C15" s="5">
        <v>8</v>
      </c>
      <c r="D15" s="5"/>
      <c r="E15" s="5" t="s">
        <v>20</v>
      </c>
      <c r="F15" s="5"/>
      <c r="G15" s="8">
        <f t="shared" si="0"/>
        <v>4950</v>
      </c>
      <c r="H15" s="8">
        <f t="shared" si="3"/>
        <v>760</v>
      </c>
      <c r="I15" s="8">
        <f t="shared" si="1"/>
        <v>0</v>
      </c>
      <c r="J15" s="8">
        <f t="shared" si="2"/>
        <v>5710</v>
      </c>
    </row>
    <row r="16" spans="1:10" x14ac:dyDescent="0.25">
      <c r="A16" s="6" t="s">
        <v>23</v>
      </c>
      <c r="B16" s="1"/>
      <c r="C16" s="1"/>
      <c r="D16" s="1">
        <f>COUNTIF(D11:D15,"+")</f>
        <v>2</v>
      </c>
      <c r="E16" s="1">
        <f xml:space="preserve"> COUNTIF(E11:E15,"+")</f>
        <v>3</v>
      </c>
      <c r="F16" s="1">
        <f xml:space="preserve"> COUNTA(F11:F15)</f>
        <v>3</v>
      </c>
      <c r="G16" s="8">
        <f t="shared" ref="G16:I16" si="4">SUM(G11:G15)</f>
        <v>21300</v>
      </c>
      <c r="H16" s="8">
        <f t="shared" si="4"/>
        <v>1805</v>
      </c>
      <c r="I16" s="8">
        <f t="shared" si="4"/>
        <v>850</v>
      </c>
      <c r="J16" s="8">
        <f>SUM(J11:J15)</f>
        <v>23955</v>
      </c>
    </row>
  </sheetData>
  <mergeCells count="11">
    <mergeCell ref="A1:C1"/>
    <mergeCell ref="A9:A10"/>
    <mergeCell ref="B9:B10"/>
    <mergeCell ref="C9:C10"/>
    <mergeCell ref="D9:F9"/>
    <mergeCell ref="G9:I9"/>
    <mergeCell ref="J9:J10"/>
    <mergeCell ref="A8:J8"/>
    <mergeCell ref="A2:A3"/>
    <mergeCell ref="A4:A5"/>
    <mergeCell ref="A6:A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7B899F-9B02-47B1-A0B9-FEDD275B8428}">
  <dimension ref="A1:H17"/>
  <sheetViews>
    <sheetView workbookViewId="0">
      <selection activeCell="A34" sqref="A34"/>
    </sheetView>
  </sheetViews>
  <sheetFormatPr defaultRowHeight="15" x14ac:dyDescent="0.25"/>
  <cols>
    <col min="1" max="1" width="27" customWidth="1"/>
    <col min="2" max="2" width="8" customWidth="1"/>
    <col min="3" max="3" width="13.140625" bestFit="1" customWidth="1"/>
    <col min="5" max="7" width="13.140625" bestFit="1" customWidth="1"/>
    <col min="8" max="8" width="12" bestFit="1" customWidth="1"/>
  </cols>
  <sheetData>
    <row r="1" spans="1:8" x14ac:dyDescent="0.25">
      <c r="A1" s="24" t="s">
        <v>25</v>
      </c>
      <c r="B1" s="24"/>
      <c r="C1" s="24"/>
      <c r="D1" s="24"/>
      <c r="E1" s="24"/>
      <c r="F1" s="24"/>
    </row>
    <row r="3" spans="1:8" x14ac:dyDescent="0.25">
      <c r="A3" s="17" t="s">
        <v>26</v>
      </c>
      <c r="B3" s="17"/>
      <c r="C3" s="1">
        <v>23</v>
      </c>
    </row>
    <row r="5" spans="1:8" x14ac:dyDescent="0.25">
      <c r="A5" s="23" t="s">
        <v>27</v>
      </c>
      <c r="B5" s="23"/>
      <c r="C5" s="10">
        <v>300000</v>
      </c>
    </row>
    <row r="6" spans="1:8" ht="76.5" customHeight="1" x14ac:dyDescent="0.25">
      <c r="A6" s="9" t="s">
        <v>28</v>
      </c>
      <c r="B6" s="4" t="s">
        <v>29</v>
      </c>
      <c r="C6" s="4" t="s">
        <v>30</v>
      </c>
      <c r="D6" s="4" t="s">
        <v>31</v>
      </c>
      <c r="E6" s="4" t="s">
        <v>32</v>
      </c>
      <c r="F6" s="4" t="s">
        <v>33</v>
      </c>
      <c r="G6" s="4" t="s">
        <v>34</v>
      </c>
      <c r="H6" s="4" t="s">
        <v>35</v>
      </c>
    </row>
    <row r="7" spans="1:8" x14ac:dyDescent="0.25">
      <c r="A7" s="1" t="s">
        <v>36</v>
      </c>
      <c r="B7" s="1">
        <v>20</v>
      </c>
      <c r="C7" s="1">
        <v>5</v>
      </c>
      <c r="D7" s="1">
        <v>90</v>
      </c>
      <c r="E7" s="16">
        <v>30000</v>
      </c>
      <c r="F7" s="11">
        <f xml:space="preserve"> E7*B7/$C$3</f>
        <v>26086.956521739132</v>
      </c>
      <c r="G7" s="8">
        <f xml:space="preserve"> ($C$5-$F$17)/$D$17*D7</f>
        <v>14795.059900390361</v>
      </c>
      <c r="H7" s="8">
        <f xml:space="preserve"> F7+G7</f>
        <v>40882.016422129491</v>
      </c>
    </row>
    <row r="8" spans="1:8" x14ac:dyDescent="0.25">
      <c r="A8" s="1" t="s">
        <v>37</v>
      </c>
      <c r="B8" s="1">
        <v>22</v>
      </c>
      <c r="C8" s="1">
        <v>5</v>
      </c>
      <c r="D8" s="1">
        <v>100</v>
      </c>
      <c r="E8" s="16">
        <v>30000</v>
      </c>
      <c r="F8" s="11">
        <f t="shared" ref="F8:F16" si="0" xml:space="preserve"> E8*B8/$C$3</f>
        <v>28695.652173913044</v>
      </c>
      <c r="G8" s="8">
        <f t="shared" ref="G8:G16" si="1" xml:space="preserve"> ($C$5-$F$17)/$D$17*D8</f>
        <v>16438.955444878178</v>
      </c>
      <c r="H8" s="8">
        <f t="shared" ref="H8:H16" si="2" xml:space="preserve"> F8+G8</f>
        <v>45134.607618791226</v>
      </c>
    </row>
    <row r="9" spans="1:8" x14ac:dyDescent="0.25">
      <c r="A9" s="1" t="s">
        <v>38</v>
      </c>
      <c r="B9" s="1">
        <v>18</v>
      </c>
      <c r="C9" s="1">
        <v>4</v>
      </c>
      <c r="D9" s="1">
        <v>70</v>
      </c>
      <c r="E9" s="16">
        <v>25000</v>
      </c>
      <c r="F9" s="11">
        <f t="shared" si="0"/>
        <v>19565.217391304348</v>
      </c>
      <c r="G9" s="8">
        <f t="shared" si="1"/>
        <v>11507.268811414724</v>
      </c>
      <c r="H9" s="8">
        <f t="shared" si="2"/>
        <v>31072.486202719072</v>
      </c>
    </row>
    <row r="10" spans="1:8" x14ac:dyDescent="0.25">
      <c r="A10" s="1" t="s">
        <v>39</v>
      </c>
      <c r="B10" s="1">
        <v>20</v>
      </c>
      <c r="C10" s="1">
        <v>4</v>
      </c>
      <c r="D10" s="1">
        <v>80</v>
      </c>
      <c r="E10" s="16">
        <v>25000</v>
      </c>
      <c r="F10" s="11">
        <f t="shared" si="0"/>
        <v>21739.130434782608</v>
      </c>
      <c r="G10" s="8">
        <f t="shared" si="1"/>
        <v>13151.164355902543</v>
      </c>
      <c r="H10" s="8">
        <f t="shared" si="2"/>
        <v>34890.294790685148</v>
      </c>
    </row>
    <row r="11" spans="1:8" x14ac:dyDescent="0.25">
      <c r="A11" s="1" t="s">
        <v>40</v>
      </c>
      <c r="B11" s="1">
        <v>19</v>
      </c>
      <c r="C11" s="1">
        <v>3</v>
      </c>
      <c r="D11" s="1">
        <v>60</v>
      </c>
      <c r="E11" s="16">
        <v>22500</v>
      </c>
      <c r="F11" s="11">
        <f t="shared" si="0"/>
        <v>18586.956521739132</v>
      </c>
      <c r="G11" s="8">
        <f t="shared" si="1"/>
        <v>9863.3732669269066</v>
      </c>
      <c r="H11" s="8">
        <f t="shared" si="2"/>
        <v>28450.329788666037</v>
      </c>
    </row>
    <row r="12" spans="1:8" x14ac:dyDescent="0.25">
      <c r="A12" s="1" t="s">
        <v>41</v>
      </c>
      <c r="B12" s="1">
        <v>12</v>
      </c>
      <c r="C12" s="1">
        <v>3</v>
      </c>
      <c r="D12" s="1">
        <v>36</v>
      </c>
      <c r="E12" s="16">
        <v>22500</v>
      </c>
      <c r="F12" s="11">
        <f t="shared" si="0"/>
        <v>11739.130434782608</v>
      </c>
      <c r="G12" s="8">
        <f t="shared" si="1"/>
        <v>5918.0239601561443</v>
      </c>
      <c r="H12" s="8">
        <f t="shared" si="2"/>
        <v>17657.154394938752</v>
      </c>
    </row>
    <row r="13" spans="1:8" x14ac:dyDescent="0.25">
      <c r="A13" s="1" t="s">
        <v>42</v>
      </c>
      <c r="B13" s="1">
        <v>10</v>
      </c>
      <c r="C13" s="1">
        <v>2</v>
      </c>
      <c r="D13" s="1">
        <v>30</v>
      </c>
      <c r="E13" s="16">
        <v>20000</v>
      </c>
      <c r="F13" s="11">
        <f t="shared" si="0"/>
        <v>8695.652173913044</v>
      </c>
      <c r="G13" s="8">
        <f t="shared" si="1"/>
        <v>4931.6866334634533</v>
      </c>
      <c r="H13" s="8">
        <f t="shared" si="2"/>
        <v>13627.338807376498</v>
      </c>
    </row>
    <row r="14" spans="1:8" x14ac:dyDescent="0.25">
      <c r="A14" s="1" t="s">
        <v>43</v>
      </c>
      <c r="B14" s="1">
        <v>20</v>
      </c>
      <c r="C14" s="1">
        <v>3</v>
      </c>
      <c r="D14" s="1">
        <v>60</v>
      </c>
      <c r="E14" s="16">
        <v>22500</v>
      </c>
      <c r="F14" s="11">
        <f t="shared" si="0"/>
        <v>19565.217391304348</v>
      </c>
      <c r="G14" s="8">
        <f t="shared" si="1"/>
        <v>9863.3732669269066</v>
      </c>
      <c r="H14" s="8">
        <f t="shared" si="2"/>
        <v>29428.590658231253</v>
      </c>
    </row>
    <row r="15" spans="1:8" x14ac:dyDescent="0.25">
      <c r="A15" s="1" t="s">
        <v>44</v>
      </c>
      <c r="B15" s="1">
        <v>20</v>
      </c>
      <c r="C15" s="1">
        <v>2</v>
      </c>
      <c r="D15" s="1">
        <v>40</v>
      </c>
      <c r="E15" s="16">
        <v>20000</v>
      </c>
      <c r="F15" s="11">
        <f t="shared" si="0"/>
        <v>17391.304347826088</v>
      </c>
      <c r="G15" s="8">
        <f t="shared" si="1"/>
        <v>6575.5821779512717</v>
      </c>
      <c r="H15" s="8">
        <f t="shared" si="2"/>
        <v>23966.886525777358</v>
      </c>
    </row>
    <row r="16" spans="1:8" x14ac:dyDescent="0.25">
      <c r="A16" s="1" t="s">
        <v>45</v>
      </c>
      <c r="B16" s="1">
        <v>20</v>
      </c>
      <c r="C16" s="1">
        <v>4</v>
      </c>
      <c r="D16" s="1">
        <v>80</v>
      </c>
      <c r="E16" s="16">
        <v>25000</v>
      </c>
      <c r="F16" s="11">
        <f t="shared" si="0"/>
        <v>21739.130434782608</v>
      </c>
      <c r="G16" s="8">
        <f t="shared" si="1"/>
        <v>13151.164355902543</v>
      </c>
      <c r="H16" s="8">
        <f t="shared" si="2"/>
        <v>34890.294790685148</v>
      </c>
    </row>
    <row r="17" spans="1:8" x14ac:dyDescent="0.25">
      <c r="A17" s="1" t="s">
        <v>23</v>
      </c>
      <c r="B17" s="1">
        <f>SUM(B7:B16)</f>
        <v>181</v>
      </c>
      <c r="C17" s="1"/>
      <c r="D17" s="1">
        <f>SUM(D7:D16)</f>
        <v>646</v>
      </c>
      <c r="E17" s="16">
        <f>SUM(E7:E16)</f>
        <v>242500</v>
      </c>
      <c r="F17" s="8">
        <f t="shared" ref="F17:H17" si="3">SUM(F7:F16)</f>
        <v>193804.34782608697</v>
      </c>
      <c r="G17" s="8">
        <f t="shared" si="3"/>
        <v>106195.65217391304</v>
      </c>
      <c r="H17" s="11">
        <f t="shared" si="3"/>
        <v>300000</v>
      </c>
    </row>
  </sheetData>
  <mergeCells count="3">
    <mergeCell ref="A3:B3"/>
    <mergeCell ref="A5:B5"/>
    <mergeCell ref="A1:F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BA158-7C74-48D2-91BB-6EAB362C2C96}">
  <dimension ref="A1:F12"/>
  <sheetViews>
    <sheetView workbookViewId="0">
      <selection activeCell="F23" sqref="F23"/>
    </sheetView>
  </sheetViews>
  <sheetFormatPr defaultRowHeight="15" x14ac:dyDescent="0.25"/>
  <cols>
    <col min="1" max="1" width="13.28515625" bestFit="1" customWidth="1"/>
    <col min="3" max="3" width="9.5703125" bestFit="1" customWidth="1"/>
    <col min="4" max="4" width="15" customWidth="1"/>
    <col min="5" max="6" width="10.5703125" bestFit="1" customWidth="1"/>
  </cols>
  <sheetData>
    <row r="1" spans="1:6" x14ac:dyDescent="0.25">
      <c r="A1" s="22" t="s">
        <v>46</v>
      </c>
      <c r="B1" s="22"/>
      <c r="C1" s="12">
        <v>0.13</v>
      </c>
      <c r="D1" s="22" t="s">
        <v>47</v>
      </c>
      <c r="E1" s="22"/>
      <c r="F1" s="12">
        <v>0.2</v>
      </c>
    </row>
    <row r="2" spans="1:6" x14ac:dyDescent="0.25">
      <c r="A2" s="22" t="s">
        <v>48</v>
      </c>
      <c r="B2" s="22"/>
      <c r="C2" s="8">
        <v>125</v>
      </c>
    </row>
    <row r="3" spans="1:6" x14ac:dyDescent="0.25">
      <c r="A3" s="22" t="s">
        <v>49</v>
      </c>
      <c r="B3" s="22"/>
      <c r="C3" s="8">
        <v>200</v>
      </c>
    </row>
    <row r="5" spans="1:6" x14ac:dyDescent="0.25">
      <c r="A5" s="25" t="s">
        <v>50</v>
      </c>
      <c r="B5" s="25"/>
      <c r="C5" s="25"/>
      <c r="D5" s="25"/>
      <c r="E5" s="25"/>
      <c r="F5" s="25"/>
    </row>
    <row r="6" spans="1:6" ht="57.75" x14ac:dyDescent="0.25">
      <c r="A6" s="13" t="s">
        <v>51</v>
      </c>
      <c r="B6" s="14" t="s">
        <v>52</v>
      </c>
      <c r="C6" s="14" t="s">
        <v>53</v>
      </c>
      <c r="D6" s="14" t="s">
        <v>54</v>
      </c>
      <c r="E6" s="14" t="s">
        <v>55</v>
      </c>
      <c r="F6" s="14" t="s">
        <v>56</v>
      </c>
    </row>
    <row r="7" spans="1:6" x14ac:dyDescent="0.25">
      <c r="A7" s="1" t="s">
        <v>38</v>
      </c>
      <c r="B7" s="1">
        <v>145</v>
      </c>
      <c r="C7" s="1">
        <v>18</v>
      </c>
      <c r="D7" s="11">
        <f>B7*$C$2-C7*$C$3</f>
        <v>14525</v>
      </c>
      <c r="E7" s="11">
        <f>D7*IF(D7&gt;=15000,$F$1,$C$1)</f>
        <v>1888.25</v>
      </c>
      <c r="F7" s="11">
        <f>D7-E7</f>
        <v>12636.75</v>
      </c>
    </row>
    <row r="8" spans="1:6" x14ac:dyDescent="0.25">
      <c r="A8" s="1" t="s">
        <v>57</v>
      </c>
      <c r="B8" s="1">
        <v>135</v>
      </c>
      <c r="C8" s="1">
        <v>5</v>
      </c>
      <c r="D8" s="11">
        <f t="shared" ref="D8:D11" si="0">B8*$C$2-C8*$C$3</f>
        <v>15875</v>
      </c>
      <c r="E8" s="11">
        <f t="shared" ref="E8:E11" si="1">D8*IF(D8&gt;=15000,$F$1,$C$1)</f>
        <v>3175</v>
      </c>
      <c r="F8" s="11">
        <f t="shared" ref="F8:F11" si="2">D8-E8</f>
        <v>12700</v>
      </c>
    </row>
    <row r="9" spans="1:6" x14ac:dyDescent="0.25">
      <c r="A9" s="1" t="s">
        <v>42</v>
      </c>
      <c r="B9" s="1">
        <v>130</v>
      </c>
      <c r="C9" s="1">
        <v>7</v>
      </c>
      <c r="D9" s="11">
        <f t="shared" si="0"/>
        <v>14850</v>
      </c>
      <c r="E9" s="11">
        <f t="shared" si="1"/>
        <v>1930.5</v>
      </c>
      <c r="F9" s="11">
        <f t="shared" si="2"/>
        <v>12919.5</v>
      </c>
    </row>
    <row r="10" spans="1:6" x14ac:dyDescent="0.25">
      <c r="A10" s="1" t="s">
        <v>43</v>
      </c>
      <c r="B10" s="1">
        <v>160</v>
      </c>
      <c r="C10" s="1">
        <v>12</v>
      </c>
      <c r="D10" s="11">
        <f t="shared" si="0"/>
        <v>17600</v>
      </c>
      <c r="E10" s="11">
        <f t="shared" si="1"/>
        <v>3520</v>
      </c>
      <c r="F10" s="11">
        <f t="shared" si="2"/>
        <v>14080</v>
      </c>
    </row>
    <row r="11" spans="1:6" x14ac:dyDescent="0.25">
      <c r="A11" s="1" t="s">
        <v>58</v>
      </c>
      <c r="B11" s="1">
        <v>110</v>
      </c>
      <c r="C11" s="1">
        <v>3</v>
      </c>
      <c r="D11" s="11">
        <f t="shared" si="0"/>
        <v>13150</v>
      </c>
      <c r="E11" s="11">
        <f t="shared" si="1"/>
        <v>1709.5</v>
      </c>
      <c r="F11" s="11">
        <f t="shared" si="2"/>
        <v>11440.5</v>
      </c>
    </row>
    <row r="12" spans="1:6" x14ac:dyDescent="0.25">
      <c r="A12" s="15" t="s">
        <v>23</v>
      </c>
      <c r="B12" s="1">
        <f t="shared" ref="B12:C12" si="3">SUM(B7:B11)</f>
        <v>680</v>
      </c>
      <c r="C12" s="1">
        <f t="shared" si="3"/>
        <v>45</v>
      </c>
      <c r="D12" s="11">
        <f t="shared" ref="D12:E12" si="4">SUM(D7:D11)</f>
        <v>76000</v>
      </c>
      <c r="E12" s="11">
        <f t="shared" si="4"/>
        <v>12223.25</v>
      </c>
      <c r="F12" s="11">
        <f>SUM(F7:F11)</f>
        <v>63776.75</v>
      </c>
    </row>
  </sheetData>
  <mergeCells count="5">
    <mergeCell ref="D1:E1"/>
    <mergeCell ref="A1:B1"/>
    <mergeCell ref="A2:B2"/>
    <mergeCell ref="A3:B3"/>
    <mergeCell ref="A5:F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Квартплата</vt:lpstr>
      <vt:lpstr>Распределение фонда зарплаты</vt:lpstr>
      <vt:lpstr>Сдельная зарплата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Антон Лялин</dc:creator>
  <cp:lastModifiedBy>Савкин Никита</cp:lastModifiedBy>
  <dcterms:created xsi:type="dcterms:W3CDTF">2025-09-28T07:41:45Z</dcterms:created>
  <dcterms:modified xsi:type="dcterms:W3CDTF">2025-12-16T17:53:04Z</dcterms:modified>
</cp:coreProperties>
</file>