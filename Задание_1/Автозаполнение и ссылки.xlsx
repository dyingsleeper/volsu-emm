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0"/>
  <workbookPr/>
  <mc:AlternateContent xmlns:mc="http://schemas.openxmlformats.org/markup-compatibility/2006">
    <mc:Choice Requires="x15">
      <x15ac:absPath xmlns:x15ac="http://schemas.microsoft.com/office/spreadsheetml/2010/11/ac" url="/Users/ds/Projects/excel/volsu-emm/Задание_1/"/>
    </mc:Choice>
  </mc:AlternateContent>
  <xr:revisionPtr revIDLastSave="0" documentId="13_ncr:1_{8472C1B3-B5A7-A944-B716-00E88306F93E}" xr6:coauthVersionLast="47" xr6:coauthVersionMax="47" xr10:uidLastSave="{00000000-0000-0000-0000-000000000000}"/>
  <bookViews>
    <workbookView xWindow="0" yWindow="500" windowWidth="28800" windowHeight="16120" activeTab="3" xr2:uid="{00000000-000D-0000-FFFF-FFFF00000000}"/>
  </bookViews>
  <sheets>
    <sheet name="Лист1" sheetId="1" r:id="rId1"/>
    <sheet name="Диаграмма1" sheetId="4" r:id="rId2"/>
    <sheet name="Относительные ссылки" sheetId="2" r:id="rId3"/>
    <sheet name="Абсолютные ссылки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" i="2" l="1"/>
  <c r="C14" i="3"/>
  <c r="D7" i="3"/>
  <c r="D8" i="3"/>
  <c r="D9" i="3"/>
  <c r="D10" i="3"/>
  <c r="D11" i="3"/>
  <c r="D12" i="3"/>
  <c r="D13" i="3"/>
  <c r="D6" i="3"/>
  <c r="D14" i="3" s="1"/>
  <c r="F5" i="2"/>
  <c r="F6" i="2"/>
  <c r="F7" i="2"/>
  <c r="F8" i="2"/>
  <c r="F9" i="2"/>
  <c r="F10" i="2"/>
  <c r="F11" i="2"/>
  <c r="F12" i="2"/>
  <c r="F13" i="2"/>
  <c r="G13" i="2" s="1"/>
  <c r="F4" i="2"/>
  <c r="E5" i="2"/>
  <c r="E6" i="2"/>
  <c r="E7" i="2"/>
  <c r="E8" i="2"/>
  <c r="E9" i="2"/>
  <c r="E10" i="2"/>
  <c r="E11" i="2"/>
  <c r="E12" i="2"/>
  <c r="E13" i="2"/>
  <c r="E4" i="2"/>
  <c r="G7" i="2" l="1"/>
  <c r="G9" i="2"/>
  <c r="G11" i="2"/>
  <c r="G5" i="2"/>
  <c r="G10" i="2"/>
  <c r="G12" i="2"/>
  <c r="G6" i="2"/>
  <c r="G8" i="2"/>
</calcChain>
</file>

<file path=xl/sharedStrings.xml><?xml version="1.0" encoding="utf-8"?>
<sst xmlns="http://schemas.openxmlformats.org/spreadsheetml/2006/main" count="203" uniqueCount="101">
  <si>
    <t>Повтор</t>
  </si>
  <si>
    <t>Тип 1</t>
  </si>
  <si>
    <t>Понедельник</t>
  </si>
  <si>
    <t>ПН</t>
  </si>
  <si>
    <t>Январь</t>
  </si>
  <si>
    <t>ЯНВ</t>
  </si>
  <si>
    <t>Примеры вариантов автозаполнения данными</t>
  </si>
  <si>
    <t>Вторник</t>
  </si>
  <si>
    <t>Среда</t>
  </si>
  <si>
    <t>Четверг</t>
  </si>
  <si>
    <t>Пятница</t>
  </si>
  <si>
    <t>Суббота</t>
  </si>
  <si>
    <t>Воскресенье</t>
  </si>
  <si>
    <t>ВТ</t>
  </si>
  <si>
    <t>СР</t>
  </si>
  <si>
    <t>ЧТ</t>
  </si>
  <si>
    <t>ПТ</t>
  </si>
  <si>
    <t>СБ</t>
  </si>
  <si>
    <t>ВС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</si>
  <si>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</si>
  <si>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</si>
  <si>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</si>
  <si>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</si>
  <si>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</si>
  <si>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</si>
  <si>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</si>
  <si>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</si>
  <si>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</si>
  <si>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</si>
  <si>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</si>
  <si>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ФЕВ</t>
  </si>
  <si>
    <t>МАР</t>
  </si>
  <si>
    <t>АПР</t>
  </si>
  <si>
    <t>МАЙ</t>
  </si>
  <si>
    <t>ИЮН</t>
  </si>
  <si>
    <t>ИЮЛ</t>
  </si>
  <si>
    <t>АВГ</t>
  </si>
  <si>
    <t>СЕН</t>
  </si>
  <si>
    <t>ОКТ</t>
  </si>
  <si>
    <t>НОЯ</t>
  </si>
  <si>
    <t>ДЕК</t>
  </si>
  <si>
    <t>Тип 2</t>
  </si>
  <si>
    <t>Тип 3</t>
  </si>
  <si>
    <t>Тип 4</t>
  </si>
  <si>
    <t>Тип 5</t>
  </si>
  <si>
    <t>Тип 6</t>
  </si>
  <si>
    <t>Тип 7</t>
  </si>
  <si>
    <t>Тип 8</t>
  </si>
  <si>
    <t>Тип 9</t>
  </si>
  <si>
    <t>Тип 10</t>
  </si>
  <si>
    <t>Тип 11</t>
  </si>
  <si>
    <t>Тип 12</t>
  </si>
  <si>
    <t>Тип 13</t>
  </si>
  <si>
    <t>Тип 14</t>
  </si>
  <si>
    <t>Тип 15</t>
  </si>
  <si>
    <t>Тип 16</t>
  </si>
  <si>
    <t>Тип 17</t>
  </si>
  <si>
    <t>Тип 18</t>
  </si>
  <si>
    <t>Тип 19</t>
  </si>
  <si>
    <t>Тип 20</t>
  </si>
  <si>
    <t>Тип 21</t>
  </si>
  <si>
    <t>Тип 22</t>
  </si>
  <si>
    <t>Тип 23</t>
  </si>
  <si>
    <t>Тип 24</t>
  </si>
  <si>
    <t>Тип 25</t>
  </si>
  <si>
    <t>Тип 26</t>
  </si>
  <si>
    <t>Тип 27</t>
  </si>
  <si>
    <t>Тип 28</t>
  </si>
  <si>
    <t>Ведомость начисления заработной платы</t>
  </si>
  <si>
    <t xml:space="preserve"> </t>
  </si>
  <si>
    <t>№</t>
  </si>
  <si>
    <t>Ф.И.О</t>
  </si>
  <si>
    <t>Оплата в день</t>
  </si>
  <si>
    <t>Отработано дней</t>
  </si>
  <si>
    <t>Всего начислено</t>
  </si>
  <si>
    <t>Удержано (13%)</t>
  </si>
  <si>
    <t>Получено на руки</t>
  </si>
  <si>
    <t>Иванов А.С.</t>
  </si>
  <si>
    <t>Петрова Е.В.</t>
  </si>
  <si>
    <t>Сидоров М.И.</t>
  </si>
  <si>
    <t>Кузнецова Т.Н.</t>
  </si>
  <si>
    <t>Смирнов Д.А.</t>
  </si>
  <si>
    <t>Волкова О.Г.</t>
  </si>
  <si>
    <t>Фёдоров И.П.</t>
  </si>
  <si>
    <t>Морозова Л.С.</t>
  </si>
  <si>
    <t>Егоров В.Н.</t>
  </si>
  <si>
    <t>Попова К.Р.</t>
  </si>
  <si>
    <t>Расход бензина</t>
  </si>
  <si>
    <t>Стоимость бензина АИ-92 (руб.)</t>
  </si>
  <si>
    <t>Город</t>
  </si>
  <si>
    <t>Расстояние (км)</t>
  </si>
  <si>
    <t>Итого в руб.</t>
  </si>
  <si>
    <t>Тула</t>
  </si>
  <si>
    <t>Рязань</t>
  </si>
  <si>
    <t>Астрахань</t>
  </si>
  <si>
    <t>Ахрангельск</t>
  </si>
  <si>
    <t>Кострома</t>
  </si>
  <si>
    <t>Саратов</t>
  </si>
  <si>
    <t>Воронеж</t>
  </si>
  <si>
    <t>Волгоград</t>
  </si>
  <si>
    <t>ИТОГО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</si>
</sst>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₽&quot;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164" fontId="0" fillId="0" borderId="1" xfId="0" applyNumberFormat="1" applyBorder="1" applyAlignment="1">
      <alignment vertical="center" wrapText="1"/>
    </xf>
    <xf numFmtId="3" fontId="0" fillId="0" borderId="1" xfId="0" applyNumberFormat="1" applyBorder="1" applyAlignment="1">
      <alignment vertical="center" wrapText="1"/>
    </xf>
    <xf numFmtId="164" fontId="0" fillId="0" borderId="0" xfId="0" applyNumberFormat="1"/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applyFont="1" applyBorder="1"/>
    <xf numFmtId="164" fontId="0" fillId="0" borderId="1" xfId="0" applyNumberFormat="1" applyBorder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4" fontId="0" fillId="0" borderId="1" xfId="0" applyNumberFormat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Ведомость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'Относительные ссылки'!$E$3</c:f>
              <c:strCache>
                <c:ptCount val="1"/>
                <c:pt idx="0">
                  <c:v>Всего начислено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'Относительные ссылки'!$B$4:$B$13</c:f>
              <c:strCache>
                <c:ptCount val="10"/>
                <c:pt idx="0">
                  <c:v>Иванов А.С.</c:v>
                </c:pt>
                <c:pt idx="1">
                  <c:v>Петрова Е.В.</c:v>
                </c:pt>
                <c:pt idx="2">
                  <c:v>Сидоров М.И.</c:v>
                </c:pt>
                <c:pt idx="3">
                  <c:v>Кузнецова Т.Н.</c:v>
                </c:pt>
                <c:pt idx="4">
                  <c:v>Смирнов Д.А.</c:v>
                </c:pt>
                <c:pt idx="5">
                  <c:v>Волкова О.Г.</c:v>
                </c:pt>
                <c:pt idx="6">
                  <c:v>Фёдоров И.П.</c:v>
                </c:pt>
                <c:pt idx="7">
                  <c:v>Морозова Л.С.</c:v>
                </c:pt>
                <c:pt idx="8">
                  <c:v>Егоров В.Н.</c:v>
                </c:pt>
                <c:pt idx="9">
                  <c:v>Попова К.Р.</c:v>
                </c:pt>
              </c:strCache>
            </c:strRef>
          </c:cat>
          <c:val>
            <c:numRef>
              <c:f>'Относительные ссылки'!$E$4:$E$13</c:f>
              <c:numCache>
                <c:formatCode>#,##0</c:formatCode>
                <c:ptCount val="10"/>
                <c:pt idx="0">
                  <c:v>56000</c:v>
                </c:pt>
                <c:pt idx="1">
                  <c:v>43200</c:v>
                </c:pt>
                <c:pt idx="2">
                  <c:v>66000</c:v>
                </c:pt>
                <c:pt idx="3">
                  <c:v>49400</c:v>
                </c:pt>
                <c:pt idx="4">
                  <c:v>67200</c:v>
                </c:pt>
                <c:pt idx="5">
                  <c:v>37400</c:v>
                </c:pt>
                <c:pt idx="6">
                  <c:v>71300</c:v>
                </c:pt>
                <c:pt idx="7">
                  <c:v>50000</c:v>
                </c:pt>
                <c:pt idx="8">
                  <c:v>55100</c:v>
                </c:pt>
                <c:pt idx="9">
                  <c:v>41400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DA-0F48-A6FC-867C71F87EAA}"/>
            </c:ext>
          </c:extLst>
        </c:ser>
        <c:ser>
          <c:idx val="1"/>
          <c:order val="1"/>
          <c:tx>
            <c:strRef>
              <c:f>'Относительные ссылки'!$G$3</c:f>
              <c:strCache>
                <c:ptCount val="1"/>
                <c:pt idx="0">
                  <c:v>Получено на руки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'Относительные ссылки'!$B$4:$B$13</c:f>
              <c:strCache>
                <c:ptCount val="10"/>
                <c:pt idx="0">
                  <c:v>Иванов А.С.</c:v>
                </c:pt>
                <c:pt idx="1">
                  <c:v>Петрова Е.В.</c:v>
                </c:pt>
                <c:pt idx="2">
                  <c:v>Сидоров М.И.</c:v>
                </c:pt>
                <c:pt idx="3">
                  <c:v>Кузнецова Т.Н.</c:v>
                </c:pt>
                <c:pt idx="4">
                  <c:v>Смирнов Д.А.</c:v>
                </c:pt>
                <c:pt idx="5">
                  <c:v>Волкова О.Г.</c:v>
                </c:pt>
                <c:pt idx="6">
                  <c:v>Фёдоров И.П.</c:v>
                </c:pt>
                <c:pt idx="7">
                  <c:v>Морозова Л.С.</c:v>
                </c:pt>
                <c:pt idx="8">
                  <c:v>Егоров В.Н.</c:v>
                </c:pt>
                <c:pt idx="9">
                  <c:v>Попова К.Р.</c:v>
                </c:pt>
              </c:strCache>
            </c:strRef>
          </c:cat>
          <c:val>
            <c:numRef>
              <c:f>'Относительные ссылки'!$G$4:$G$13</c:f>
              <c:numCache>
                <c:formatCode>#,##0</c:formatCode>
                <c:ptCount val="10"/>
                <c:pt idx="0">
                  <c:v>48720</c:v>
                </c:pt>
                <c:pt idx="1">
                  <c:v>37584</c:v>
                </c:pt>
                <c:pt idx="2">
                  <c:v>57420</c:v>
                </c:pt>
                <c:pt idx="3">
                  <c:v>42978</c:v>
                </c:pt>
                <c:pt idx="4">
                  <c:v>58464</c:v>
                </c:pt>
                <c:pt idx="5">
                  <c:v>32538</c:v>
                </c:pt>
                <c:pt idx="6">
                  <c:v>62031</c:v>
                </c:pt>
                <c:pt idx="7">
                  <c:v>43500</c:v>
                </c:pt>
                <c:pt idx="8">
                  <c:v>47937</c:v>
                </c:pt>
                <c:pt idx="9">
                  <c:v>36018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DA-0F48-A6FC-867C71F87E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70418352"/>
        <c:axId val="1670419184"/>
      </c:barChart>
      <c:catAx>
        <c:axId val="1670418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70419184"/>
        <c:crosses val="autoZero"/>
        <c:auto val="1"/>
        <c:lblAlgn val="ctr"/>
        <c:lblOffset val="100"/>
        <c:noMultiLvlLbl val="0"/>
      </c:catAx>
      <c:valAx>
        <c:axId val="167041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7041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E37EF4D7-97D8-7247-9439-C1D4F9E4C9E2}">
  <sheetPr/>
  <sheetViews>
    <sheetView zoomScale="12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6393" cy="6068934"/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CDA97815-0F74-88E6-1E4D-DFCA1F7E591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"/>
  <sheetViews>
    <sheetView workbookViewId="0">
      <selection activeCell="E3" sqref="E3"/>
    </sheetView>
  </sheetViews>
  <sheetFormatPr baseColWidth="10" defaultColWidth="8.83203125" defaultRowHeight="15" x14ac:dyDescent="0.2"/>
  <cols>
    <col min="6" max="9" width="10.1640625" bestFit="1" customWidth="1"/>
    <col min="10" max="10" width="13.5" bestFit="1" customWidth="1"/>
  </cols>
  <sheetData>
    <row r="1" spans="1:13" x14ac:dyDescent="0.2">
      <c r="A1" s="10" t="s">
        <v>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</row>
    <row r="3" spans="1:13" x14ac:dyDescent="0.2">
      <c r="A3" s="7" t="s">
        <v>0</v>
      </c>
      <c r="B3" s="7">
        <v>12</v>
      </c>
      <c r="C3" s="7">
        <v>12</v>
      </c>
      <c r="D3" s="7">
        <v>1</v>
      </c>
      <c r="E3" s="7" t="s">
        <v>1</v>
      </c>
      <c r="F3" s="12">
        <v>43871</v>
      </c>
      <c r="G3" s="12">
        <v>43871</v>
      </c>
      <c r="H3" s="12">
        <v>43871</v>
      </c>
      <c r="I3" s="12">
        <v>43871</v>
      </c>
      <c r="J3" s="7" t="s">
        <v>2</v>
      </c>
      <c r="K3" s="7" t="s">
        <v>3</v>
      </c>
      <c r="L3" s="7" t="s">
        <v>4</v>
      </c>
      <c r="M3" s="7" t="s">
        <v>5</v>
      </c>
    </row>
    <row r="4" spans="1:13" x14ac:dyDescent="0.2">
      <c r="A4" s="7" t="s">
        <v>0</v>
      </c>
      <c r="B4" s="7">
        <v>12</v>
      </c>
      <c r="C4" s="7">
        <v>15</v>
      </c>
      <c r="D4" s="7">
        <v>2</v>
      </c>
      <c r="E4" s="7" t="s">
        <v>41</v>
      </c>
      <c r="F4" s="12">
        <v>43872</v>
      </c>
      <c r="G4" s="12">
        <v>43871</v>
      </c>
      <c r="H4" s="12">
        <v>43872</v>
      </c>
      <c r="I4" s="12">
        <v>43878</v>
      </c>
      <c r="J4" s="7" t="s">
        <v>7</v>
      </c>
      <c r="K4" s="7" t="s">
        <v>13</v>
      </c>
      <c r="L4" s="7" t="s">
        <v>19</v>
      </c>
      <c r="M4" s="7" t="s">
        <v>30</v>
      </c>
    </row>
    <row r="5" spans="1:13" x14ac:dyDescent="0.2">
      <c r="A5" s="7" t="s">
        <v>0</v>
      </c>
      <c r="B5" s="7">
        <v>12</v>
      </c>
      <c r="C5" s="7">
        <v>18</v>
      </c>
      <c r="D5" s="7">
        <v>3</v>
      </c>
      <c r="E5" s="7" t="s">
        <v>42</v>
      </c>
      <c r="F5" s="12">
        <v>43873</v>
      </c>
      <c r="G5" s="12">
        <v>43871</v>
      </c>
      <c r="H5" s="12">
        <v>43873</v>
      </c>
      <c r="I5" s="12">
        <v>43885</v>
      </c>
      <c r="J5" s="7" t="s">
        <v>8</v>
      </c>
      <c r="K5" s="7" t="s">
        <v>14</v>
      </c>
      <c r="L5" s="7" t="s">
        <v>20</v>
      </c>
      <c r="M5" s="7" t="s">
        <v>31</v>
      </c>
    </row>
    <row r="6" spans="1:13" x14ac:dyDescent="0.2">
      <c r="A6" s="7" t="s">
        <v>0</v>
      </c>
      <c r="B6" s="7">
        <v>12</v>
      </c>
      <c r="C6" s="7">
        <v>21</v>
      </c>
      <c r="D6" s="7">
        <v>4</v>
      </c>
      <c r="E6" s="7" t="s">
        <v>43</v>
      </c>
      <c r="F6" s="12">
        <v>43874</v>
      </c>
      <c r="G6" s="12">
        <v>43871</v>
      </c>
      <c r="H6" s="12">
        <v>43874</v>
      </c>
      <c r="I6" s="12">
        <v>43892</v>
      </c>
      <c r="J6" s="7" t="s">
        <v>9</v>
      </c>
      <c r="K6" s="7" t="s">
        <v>15</v>
      </c>
      <c r="L6" s="7" t="s">
        <v>21</v>
      </c>
      <c r="M6" s="7" t="s">
        <v>32</v>
      </c>
    </row>
    <row r="7" spans="1:13" x14ac:dyDescent="0.2">
      <c r="A7" s="7" t="s">
        <v>0</v>
      </c>
      <c r="B7" s="7">
        <v>12</v>
      </c>
      <c r="C7" s="7">
        <v>24</v>
      </c>
      <c r="D7" s="7">
        <v>5</v>
      </c>
      <c r="E7" s="7" t="s">
        <v>44</v>
      </c>
      <c r="F7" s="12">
        <v>43875</v>
      </c>
      <c r="G7" s="12">
        <v>43871</v>
      </c>
      <c r="H7" s="12">
        <v>43875</v>
      </c>
      <c r="I7" s="12">
        <v>43899</v>
      </c>
      <c r="J7" s="7" t="s">
        <v>10</v>
      </c>
      <c r="K7" s="7" t="s">
        <v>16</v>
      </c>
      <c r="L7" s="7" t="s">
        <v>22</v>
      </c>
      <c r="M7" s="7" t="s">
        <v>33</v>
      </c>
    </row>
    <row r="8" spans="1:13" x14ac:dyDescent="0.2">
      <c r="A8" s="7" t="s">
        <v>0</v>
      </c>
      <c r="B8" s="7">
        <v>12</v>
      </c>
      <c r="C8" s="7">
        <v>27</v>
      </c>
      <c r="D8" s="7">
        <v>6</v>
      </c>
      <c r="E8" s="7" t="s">
        <v>45</v>
      </c>
      <c r="F8" s="12">
        <v>43876</v>
      </c>
      <c r="G8" s="12">
        <v>43871</v>
      </c>
      <c r="H8" s="12">
        <v>43878</v>
      </c>
      <c r="I8" s="12">
        <v>43906</v>
      </c>
      <c r="J8" s="7" t="s">
        <v>11</v>
      </c>
      <c r="K8" s="7" t="s">
        <v>17</v>
      </c>
      <c r="L8" s="7" t="s">
        <v>23</v>
      </c>
      <c r="M8" s="7" t="s">
        <v>34</v>
      </c>
    </row>
    <row r="9" spans="1:13" x14ac:dyDescent="0.2">
      <c r="A9" s="7" t="s">
        <v>0</v>
      </c>
      <c r="B9" s="7">
        <v>12</v>
      </c>
      <c r="C9" s="7">
        <v>30</v>
      </c>
      <c r="D9" s="7">
        <v>7</v>
      </c>
      <c r="E9" s="7" t="s">
        <v>46</v>
      </c>
      <c r="F9" s="12">
        <v>43877</v>
      </c>
      <c r="G9" s="12">
        <v>43871</v>
      </c>
      <c r="H9" s="12">
        <v>43879</v>
      </c>
      <c r="I9" s="12">
        <v>43913</v>
      </c>
      <c r="J9" s="7" t="s">
        <v>12</v>
      </c>
      <c r="K9" s="7" t="s">
        <v>18</v>
      </c>
      <c r="L9" s="7" t="s">
        <v>24</v>
      </c>
      <c r="M9" s="7" t="s">
        <v>35</v>
      </c>
    </row>
    <row r="10" spans="1:13" x14ac:dyDescent="0.2">
      <c r="A10" s="7" t="s">
        <v>0</v>
      </c>
      <c r="B10" s="7">
        <v>12</v>
      </c>
      <c r="C10" s="7">
        <v>33</v>
      </c>
      <c r="D10" s="7">
        <v>8</v>
      </c>
      <c r="E10" s="7" t="s">
        <v>47</v>
      </c>
      <c r="F10" s="12">
        <v>43878</v>
      </c>
      <c r="G10" s="12">
        <v>43871</v>
      </c>
      <c r="H10" s="12">
        <v>43880</v>
      </c>
      <c r="I10" s="12">
        <v>43920</v>
      </c>
      <c r="J10" s="7" t="s">
        <v>2</v>
      </c>
      <c r="K10" s="7" t="s">
        <v>3</v>
      </c>
      <c r="L10" s="7" t="s">
        <v>25</v>
      </c>
      <c r="M10" s="7" t="s">
        <v>36</v>
      </c>
    </row>
    <row r="11" spans="1:13" x14ac:dyDescent="0.2">
      <c r="A11" s="7" t="s">
        <v>0</v>
      </c>
      <c r="B11" s="7">
        <v>12</v>
      </c>
      <c r="C11" s="7">
        <v>36</v>
      </c>
      <c r="D11" s="7">
        <v>9</v>
      </c>
      <c r="E11" s="7" t="s">
        <v>48</v>
      </c>
      <c r="F11" s="12">
        <v>43879</v>
      </c>
      <c r="G11" s="12">
        <v>43871</v>
      </c>
      <c r="H11" s="12">
        <v>43881</v>
      </c>
      <c r="I11" s="12">
        <v>43927</v>
      </c>
      <c r="J11" s="7" t="s">
        <v>7</v>
      </c>
      <c r="K11" s="7" t="s">
        <v>13</v>
      </c>
      <c r="L11" s="7" t="s">
        <v>26</v>
      </c>
      <c r="M11" s="7" t="s">
        <v>37</v>
      </c>
    </row>
    <row r="12" spans="1:13" x14ac:dyDescent="0.2">
      <c r="A12" s="7" t="s">
        <v>0</v>
      </c>
      <c r="B12" s="7">
        <v>12</v>
      </c>
      <c r="C12" s="7">
        <v>39</v>
      </c>
      <c r="D12" s="7">
        <v>10</v>
      </c>
      <c r="E12" s="7" t="s">
        <v>49</v>
      </c>
      <c r="F12" s="12">
        <v>43880</v>
      </c>
      <c r="G12" s="12">
        <v>43871</v>
      </c>
      <c r="H12" s="12">
        <v>43882</v>
      </c>
      <c r="I12" s="12">
        <v>43934</v>
      </c>
      <c r="J12" s="7" t="s">
        <v>8</v>
      </c>
      <c r="K12" s="7" t="s">
        <v>14</v>
      </c>
      <c r="L12" s="7" t="s">
        <v>27</v>
      </c>
      <c r="M12" s="7" t="s">
        <v>38</v>
      </c>
    </row>
    <row r="13" spans="1:13" x14ac:dyDescent="0.2">
      <c r="A13" s="7" t="s">
        <v>0</v>
      </c>
      <c r="B13" s="7">
        <v>12</v>
      </c>
      <c r="C13" s="7">
        <v>42</v>
      </c>
      <c r="D13" s="7">
        <v>11</v>
      </c>
      <c r="E13" s="7" t="s">
        <v>50</v>
      </c>
      <c r="F13" s="12">
        <v>43881</v>
      </c>
      <c r="G13" s="12">
        <v>43871</v>
      </c>
      <c r="H13" s="12">
        <v>43885</v>
      </c>
      <c r="I13" s="12">
        <v>43941</v>
      </c>
      <c r="J13" s="7" t="s">
        <v>9</v>
      </c>
      <c r="K13" s="7" t="s">
        <v>15</v>
      </c>
      <c r="L13" s="7" t="s">
        <v>28</v>
      </c>
      <c r="M13" s="7" t="s">
        <v>39</v>
      </c>
    </row>
    <row r="14" spans="1:13" x14ac:dyDescent="0.2">
      <c r="A14" s="7" t="s">
        <v>0</v>
      </c>
      <c r="B14" s="7">
        <v>12</v>
      </c>
      <c r="C14" s="7">
        <v>45</v>
      </c>
      <c r="D14" s="7">
        <v>12</v>
      </c>
      <c r="E14" s="7" t="s">
        <v>51</v>
      </c>
      <c r="F14" s="12">
        <v>43882</v>
      </c>
      <c r="G14" s="12">
        <v>43871</v>
      </c>
      <c r="H14" s="12">
        <v>43886</v>
      </c>
      <c r="I14" s="12">
        <v>43948</v>
      </c>
      <c r="J14" s="7" t="s">
        <v>10</v>
      </c>
      <c r="K14" s="7" t="s">
        <v>16</v>
      </c>
      <c r="L14" s="7" t="s">
        <v>29</v>
      </c>
      <c r="M14" s="7" t="s">
        <v>40</v>
      </c>
    </row>
    <row r="15" spans="1:13" x14ac:dyDescent="0.2">
      <c r="A15" s="7" t="s">
        <v>0</v>
      </c>
      <c r="B15" s="7">
        <v>12</v>
      </c>
      <c r="C15" s="7">
        <v>48</v>
      </c>
      <c r="D15" s="7">
        <v>13</v>
      </c>
      <c r="E15" s="7" t="s">
        <v>52</v>
      </c>
      <c r="F15" s="12">
        <v>43883</v>
      </c>
      <c r="G15" s="12">
        <v>43871</v>
      </c>
      <c r="H15" s="12">
        <v>43887</v>
      </c>
      <c r="I15" s="12">
        <v>43955</v>
      </c>
      <c r="J15" s="7" t="s">
        <v>11</v>
      </c>
      <c r="K15" s="7" t="s">
        <v>17</v>
      </c>
      <c r="L15" s="7" t="s">
        <v>4</v>
      </c>
      <c r="M15" s="7" t="s">
        <v>5</v>
      </c>
    </row>
    <row r="16" spans="1:13" x14ac:dyDescent="0.2">
      <c r="A16" s="7" t="s">
        <v>0</v>
      </c>
      <c r="B16" s="7">
        <v>12</v>
      </c>
      <c r="C16" s="7">
        <v>51</v>
      </c>
      <c r="D16" s="7">
        <v>14</v>
      </c>
      <c r="E16" s="7" t="s">
        <v>53</v>
      </c>
      <c r="F16" s="12">
        <v>43884</v>
      </c>
      <c r="G16" s="12">
        <v>43871</v>
      </c>
      <c r="H16" s="12">
        <v>43888</v>
      </c>
      <c r="I16" s="12">
        <v>43962</v>
      </c>
      <c r="J16" s="7" t="s">
        <v>12</v>
      </c>
      <c r="K16" s="7" t="s">
        <v>18</v>
      </c>
      <c r="L16" s="7" t="s">
        <v>19</v>
      </c>
      <c r="M16" s="7" t="s">
        <v>30</v>
      </c>
    </row>
    <row r="17" spans="1:13" x14ac:dyDescent="0.2">
      <c r="A17" s="7" t="s">
        <v>0</v>
      </c>
      <c r="B17" s="7">
        <v>12</v>
      </c>
      <c r="C17" s="7">
        <v>54</v>
      </c>
      <c r="D17" s="7">
        <v>15</v>
      </c>
      <c r="E17" s="7" t="s">
        <v>54</v>
      </c>
      <c r="F17" s="12">
        <v>43885</v>
      </c>
      <c r="G17" s="12">
        <v>43871</v>
      </c>
      <c r="H17" s="12">
        <v>43889</v>
      </c>
      <c r="I17" s="12">
        <v>43969</v>
      </c>
      <c r="J17" s="7" t="s">
        <v>2</v>
      </c>
      <c r="K17" s="7" t="s">
        <v>3</v>
      </c>
      <c r="L17" s="7" t="s">
        <v>20</v>
      </c>
      <c r="M17" s="7" t="s">
        <v>31</v>
      </c>
    </row>
    <row r="18" spans="1:13" x14ac:dyDescent="0.2">
      <c r="A18" s="7" t="s">
        <v>0</v>
      </c>
      <c r="B18" s="7">
        <v>12</v>
      </c>
      <c r="C18" s="7">
        <v>57</v>
      </c>
      <c r="D18" s="7">
        <v>16</v>
      </c>
      <c r="E18" s="7" t="s">
        <v>55</v>
      </c>
      <c r="F18" s="12">
        <v>43886</v>
      </c>
      <c r="G18" s="12">
        <v>43871</v>
      </c>
      <c r="H18" s="12">
        <v>43892</v>
      </c>
      <c r="I18" s="12">
        <v>43976</v>
      </c>
      <c r="J18" s="7" t="s">
        <v>7</v>
      </c>
      <c r="K18" s="7" t="s">
        <v>13</v>
      </c>
      <c r="L18" s="7" t="s">
        <v>21</v>
      </c>
      <c r="M18" s="7" t="s">
        <v>32</v>
      </c>
    </row>
    <row r="19" spans="1:13" x14ac:dyDescent="0.2">
      <c r="A19" s="7" t="s">
        <v>0</v>
      </c>
      <c r="B19" s="7">
        <v>12</v>
      </c>
      <c r="C19" s="7">
        <v>60</v>
      </c>
      <c r="D19" s="7">
        <v>17</v>
      </c>
      <c r="E19" s="7" t="s">
        <v>56</v>
      </c>
      <c r="F19" s="12">
        <v>43887</v>
      </c>
      <c r="G19" s="12">
        <v>43871</v>
      </c>
      <c r="H19" s="12">
        <v>43893</v>
      </c>
      <c r="I19" s="12">
        <v>43983</v>
      </c>
      <c r="J19" s="7" t="s">
        <v>8</v>
      </c>
      <c r="K19" s="7" t="s">
        <v>14</v>
      </c>
      <c r="L19" s="7" t="s">
        <v>22</v>
      </c>
      <c r="M19" s="7" t="s">
        <v>33</v>
      </c>
    </row>
    <row r="20" spans="1:13" x14ac:dyDescent="0.2">
      <c r="A20" s="7" t="s">
        <v>0</v>
      </c>
      <c r="B20" s="7">
        <v>12</v>
      </c>
      <c r="C20" s="7">
        <v>63</v>
      </c>
      <c r="D20" s="7">
        <v>18</v>
      </c>
      <c r="E20" s="7" t="s">
        <v>57</v>
      </c>
      <c r="F20" s="12">
        <v>43888</v>
      </c>
      <c r="G20" s="12">
        <v>43871</v>
      </c>
      <c r="H20" s="12">
        <v>43894</v>
      </c>
      <c r="I20" s="12">
        <v>43990</v>
      </c>
      <c r="J20" s="7" t="s">
        <v>9</v>
      </c>
      <c r="K20" s="7" t="s">
        <v>15</v>
      </c>
      <c r="L20" s="7" t="s">
        <v>23</v>
      </c>
      <c r="M20" s="7" t="s">
        <v>34</v>
      </c>
    </row>
    <row r="21" spans="1:13" x14ac:dyDescent="0.2">
      <c r="A21" s="7" t="s">
        <v>0</v>
      </c>
      <c r="B21" s="7">
        <v>12</v>
      </c>
      <c r="C21" s="7">
        <v>66</v>
      </c>
      <c r="D21" s="7">
        <v>19</v>
      </c>
      <c r="E21" s="7" t="s">
        <v>58</v>
      </c>
      <c r="F21" s="12">
        <v>43889</v>
      </c>
      <c r="G21" s="12">
        <v>43871</v>
      </c>
      <c r="H21" s="12">
        <v>43895</v>
      </c>
      <c r="I21" s="12">
        <v>43997</v>
      </c>
      <c r="J21" s="7" t="s">
        <v>10</v>
      </c>
      <c r="K21" s="7" t="s">
        <v>16</v>
      </c>
      <c r="L21" s="7" t="s">
        <v>24</v>
      </c>
      <c r="M21" s="7" t="s">
        <v>35</v>
      </c>
    </row>
    <row r="22" spans="1:13" x14ac:dyDescent="0.2">
      <c r="A22" s="7" t="s">
        <v>0</v>
      </c>
      <c r="B22" s="7">
        <v>12</v>
      </c>
      <c r="C22" s="7">
        <v>69</v>
      </c>
      <c r="D22" s="7">
        <v>20</v>
      </c>
      <c r="E22" s="7" t="s">
        <v>59</v>
      </c>
      <c r="F22" s="12">
        <v>43890</v>
      </c>
      <c r="G22" s="12">
        <v>43871</v>
      </c>
      <c r="H22" s="12">
        <v>43896</v>
      </c>
      <c r="I22" s="12">
        <v>44004</v>
      </c>
      <c r="J22" s="7" t="s">
        <v>11</v>
      </c>
      <c r="K22" s="7" t="s">
        <v>17</v>
      </c>
      <c r="L22" s="7" t="s">
        <v>25</v>
      </c>
      <c r="M22" s="7" t="s">
        <v>36</v>
      </c>
    </row>
    <row r="23" spans="1:13" x14ac:dyDescent="0.2">
      <c r="A23" s="7" t="s">
        <v>0</v>
      </c>
      <c r="B23" s="7">
        <v>12</v>
      </c>
      <c r="C23" s="7">
        <v>72</v>
      </c>
      <c r="D23" s="7">
        <v>21</v>
      </c>
      <c r="E23" s="7" t="s">
        <v>60</v>
      </c>
      <c r="F23" s="12">
        <v>43891</v>
      </c>
      <c r="G23" s="12">
        <v>43871</v>
      </c>
      <c r="H23" s="12">
        <v>43899</v>
      </c>
      <c r="I23" s="12">
        <v>44011</v>
      </c>
      <c r="J23" s="7" t="s">
        <v>12</v>
      </c>
      <c r="K23" s="7" t="s">
        <v>18</v>
      </c>
      <c r="L23" s="7" t="s">
        <v>26</v>
      </c>
      <c r="M23" s="7" t="s">
        <v>37</v>
      </c>
    </row>
    <row r="24" spans="1:13" x14ac:dyDescent="0.2">
      <c r="A24" s="7" t="s">
        <v>0</v>
      </c>
      <c r="B24" s="7">
        <v>12</v>
      </c>
      <c r="C24" s="7">
        <v>75</v>
      </c>
      <c r="D24" s="7">
        <v>22</v>
      </c>
      <c r="E24" s="7" t="s">
        <v>61</v>
      </c>
      <c r="F24" s="12">
        <v>43892</v>
      </c>
      <c r="G24" s="12">
        <v>43871</v>
      </c>
      <c r="H24" s="12">
        <v>43900</v>
      </c>
      <c r="I24" s="12">
        <v>44018</v>
      </c>
      <c r="J24" s="7" t="s">
        <v>2</v>
      </c>
      <c r="K24" s="7" t="s">
        <v>3</v>
      </c>
      <c r="L24" s="7" t="s">
        <v>27</v>
      </c>
      <c r="M24" s="7" t="s">
        <v>38</v>
      </c>
    </row>
    <row r="25" spans="1:13" x14ac:dyDescent="0.2">
      <c r="A25" s="7" t="s">
        <v>0</v>
      </c>
      <c r="B25" s="7">
        <v>12</v>
      </c>
      <c r="C25" s="7">
        <v>78</v>
      </c>
      <c r="D25" s="7">
        <v>23</v>
      </c>
      <c r="E25" s="7" t="s">
        <v>62</v>
      </c>
      <c r="F25" s="12">
        <v>43893</v>
      </c>
      <c r="G25" s="12">
        <v>43871</v>
      </c>
      <c r="H25" s="12">
        <v>43901</v>
      </c>
      <c r="I25" s="12">
        <v>44025</v>
      </c>
      <c r="J25" s="7" t="s">
        <v>7</v>
      </c>
      <c r="K25" s="7" t="s">
        <v>13</v>
      </c>
      <c r="L25" s="7" t="s">
        <v>28</v>
      </c>
      <c r="M25" s="7" t="s">
        <v>39</v>
      </c>
    </row>
    <row r="26" spans="1:13" x14ac:dyDescent="0.2">
      <c r="A26" s="7" t="s">
        <v>0</v>
      </c>
      <c r="B26" s="7">
        <v>12</v>
      </c>
      <c r="C26" s="7">
        <v>81</v>
      </c>
      <c r="D26" s="7">
        <v>24</v>
      </c>
      <c r="E26" s="7" t="s">
        <v>63</v>
      </c>
      <c r="F26" s="12">
        <v>43894</v>
      </c>
      <c r="G26" s="12">
        <v>43871</v>
      </c>
      <c r="H26" s="12">
        <v>43902</v>
      </c>
      <c r="I26" s="12">
        <v>44032</v>
      </c>
      <c r="J26" s="7" t="s">
        <v>8</v>
      </c>
      <c r="K26" s="7" t="s">
        <v>14</v>
      </c>
      <c r="L26" s="7" t="s">
        <v>29</v>
      </c>
      <c r="M26" s="7" t="s">
        <v>40</v>
      </c>
    </row>
    <row r="27" spans="1:13" x14ac:dyDescent="0.2">
      <c r="A27" s="7" t="s">
        <v>0</v>
      </c>
      <c r="B27" s="7">
        <v>12</v>
      </c>
      <c r="C27" s="7">
        <v>84</v>
      </c>
      <c r="D27" s="7">
        <v>25</v>
      </c>
      <c r="E27" s="7" t="s">
        <v>64</v>
      </c>
      <c r="F27" s="12">
        <v>43895</v>
      </c>
      <c r="G27" s="12">
        <v>43871</v>
      </c>
      <c r="H27" s="12">
        <v>43903</v>
      </c>
      <c r="I27" s="12">
        <v>44039</v>
      </c>
      <c r="J27" s="7" t="s">
        <v>9</v>
      </c>
      <c r="K27" s="7" t="s">
        <v>15</v>
      </c>
      <c r="L27" s="7" t="s">
        <v>4</v>
      </c>
      <c r="M27" s="7" t="s">
        <v>5</v>
      </c>
    </row>
    <row r="28" spans="1:13" x14ac:dyDescent="0.2">
      <c r="A28" s="7" t="s">
        <v>0</v>
      </c>
      <c r="B28" s="7">
        <v>12</v>
      </c>
      <c r="C28" s="7">
        <v>87</v>
      </c>
      <c r="D28" s="7">
        <v>26</v>
      </c>
      <c r="E28" s="7" t="s">
        <v>65</v>
      </c>
      <c r="F28" s="12">
        <v>43896</v>
      </c>
      <c r="G28" s="12">
        <v>43871</v>
      </c>
      <c r="H28" s="12">
        <v>43906</v>
      </c>
      <c r="I28" s="12">
        <v>44046</v>
      </c>
      <c r="J28" s="7" t="s">
        <v>10</v>
      </c>
      <c r="K28" s="7" t="s">
        <v>16</v>
      </c>
      <c r="L28" s="7" t="s">
        <v>19</v>
      </c>
      <c r="M28" s="7" t="s">
        <v>30</v>
      </c>
    </row>
    <row r="29" spans="1:13" x14ac:dyDescent="0.2">
      <c r="A29" s="7" t="s">
        <v>0</v>
      </c>
      <c r="B29" s="7">
        <v>12</v>
      </c>
      <c r="C29" s="7">
        <v>90</v>
      </c>
      <c r="D29" s="7">
        <v>27</v>
      </c>
      <c r="E29" s="7" t="s">
        <v>66</v>
      </c>
      <c r="F29" s="12">
        <v>43897</v>
      </c>
      <c r="G29" s="12">
        <v>43871</v>
      </c>
      <c r="H29" s="12">
        <v>43907</v>
      </c>
      <c r="I29" s="12">
        <v>44053</v>
      </c>
      <c r="J29" s="7" t="s">
        <v>11</v>
      </c>
      <c r="K29" s="7" t="s">
        <v>17</v>
      </c>
      <c r="L29" s="7" t="s">
        <v>20</v>
      </c>
      <c r="M29" s="7" t="s">
        <v>31</v>
      </c>
    </row>
    <row r="30" spans="1:13" x14ac:dyDescent="0.2">
      <c r="A30" s="7" t="s">
        <v>0</v>
      </c>
      <c r="B30" s="7">
        <v>12</v>
      </c>
      <c r="C30" s="7">
        <v>93</v>
      </c>
      <c r="D30" s="7">
        <v>28</v>
      </c>
      <c r="E30" s="7" t="s">
        <v>67</v>
      </c>
      <c r="F30" s="12">
        <v>43898</v>
      </c>
      <c r="G30" s="12">
        <v>43871</v>
      </c>
      <c r="H30" s="12">
        <v>43908</v>
      </c>
      <c r="I30" s="12">
        <v>44060</v>
      </c>
      <c r="J30" s="7" t="s">
        <v>12</v>
      </c>
      <c r="K30" s="7" t="s">
        <v>18</v>
      </c>
      <c r="L30" s="7" t="s">
        <v>21</v>
      </c>
      <c r="M30" s="7" t="s">
        <v>32</v>
      </c>
    </row>
  </sheetData>
  <mergeCells count="1">
    <mergeCell ref="A1:M1"/>
  </mergeCells>
  <phoneticPr fontId="2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854EA-4C18-44BD-90DA-C9B6EF1C3798}">
  <dimension ref="A1:G13"/>
  <sheetViews>
    <sheetView workbookViewId="0">
      <selection activeCell="D18" sqref="D18"/>
    </sheetView>
  </sheetViews>
  <sheetFormatPr baseColWidth="10" defaultColWidth="8.83203125" defaultRowHeight="15" x14ac:dyDescent="0.2"/>
  <cols>
    <col min="1" max="1" width="4.1640625" customWidth="1"/>
    <col min="2" max="2" width="14.5" bestFit="1" customWidth="1"/>
    <col min="3" max="3" width="14.1640625" bestFit="1" customWidth="1"/>
    <col min="4" max="4" width="17.33203125" bestFit="1" customWidth="1"/>
    <col min="5" max="5" width="16.33203125" bestFit="1" customWidth="1"/>
    <col min="6" max="6" width="16.1640625" bestFit="1" customWidth="1"/>
    <col min="7" max="7" width="17.5" bestFit="1" customWidth="1"/>
  </cols>
  <sheetData>
    <row r="1" spans="1:7" x14ac:dyDescent="0.2">
      <c r="A1" s="10" t="s">
        <v>68</v>
      </c>
      <c r="B1" s="10"/>
      <c r="C1" s="10"/>
      <c r="D1" s="10"/>
      <c r="E1" s="10"/>
      <c r="F1" s="10"/>
      <c r="G1" s="10"/>
    </row>
    <row r="2" spans="1:7" x14ac:dyDescent="0.2">
      <c r="A2" t="s">
        <v>69</v>
      </c>
    </row>
    <row r="3" spans="1:7" ht="29.25" customHeight="1" x14ac:dyDescent="0.2">
      <c r="A3" s="1" t="s">
        <v>70</v>
      </c>
      <c r="B3" s="1" t="s">
        <v>71</v>
      </c>
      <c r="C3" s="1" t="s">
        <v>72</v>
      </c>
      <c r="D3" s="1" t="s">
        <v>73</v>
      </c>
      <c r="E3" s="1" t="s">
        <v>74</v>
      </c>
      <c r="F3" s="1" t="s">
        <v>75</v>
      </c>
      <c r="G3" s="1" t="s">
        <v>76</v>
      </c>
    </row>
    <row r="4" spans="1:7" ht="16" x14ac:dyDescent="0.2">
      <c r="A4" s="2">
        <v>1</v>
      </c>
      <c r="B4" s="2" t="s">
        <v>77</v>
      </c>
      <c r="C4" s="3">
        <v>2800</v>
      </c>
      <c r="D4" s="2">
        <v>20</v>
      </c>
      <c r="E4" s="4">
        <f>C4*D4</f>
        <v>56000</v>
      </c>
      <c r="F4" s="4">
        <f>E4*13%</f>
        <v>7280</v>
      </c>
      <c r="G4" s="4">
        <f>E4-F4</f>
        <v>48720</v>
      </c>
    </row>
    <row r="5" spans="1:7" ht="16" x14ac:dyDescent="0.2">
      <c r="A5" s="2">
        <v>2</v>
      </c>
      <c r="B5" s="2" t="s">
        <v>78</v>
      </c>
      <c r="C5" s="3">
        <v>2400</v>
      </c>
      <c r="D5" s="2">
        <v>18</v>
      </c>
      <c r="E5" s="4">
        <f t="shared" ref="E5:E13" si="0">C5*D5</f>
        <v>43200</v>
      </c>
      <c r="F5" s="4">
        <f t="shared" ref="F5:F13" si="1">E5*13%</f>
        <v>5616</v>
      </c>
      <c r="G5" s="4">
        <f t="shared" ref="G5:G13" si="2">E5-F5</f>
        <v>37584</v>
      </c>
    </row>
    <row r="6" spans="1:7" ht="16" x14ac:dyDescent="0.2">
      <c r="A6" s="2">
        <v>3</v>
      </c>
      <c r="B6" s="2" t="s">
        <v>79</v>
      </c>
      <c r="C6" s="3">
        <v>3000</v>
      </c>
      <c r="D6" s="2">
        <v>22</v>
      </c>
      <c r="E6" s="4">
        <f t="shared" si="0"/>
        <v>66000</v>
      </c>
      <c r="F6" s="4">
        <f t="shared" si="1"/>
        <v>8580</v>
      </c>
      <c r="G6" s="4">
        <f t="shared" si="2"/>
        <v>57420</v>
      </c>
    </row>
    <row r="7" spans="1:7" ht="16" x14ac:dyDescent="0.2">
      <c r="A7" s="2">
        <v>4</v>
      </c>
      <c r="B7" s="2" t="s">
        <v>80</v>
      </c>
      <c r="C7" s="3">
        <v>2600</v>
      </c>
      <c r="D7" s="2">
        <v>19</v>
      </c>
      <c r="E7" s="4">
        <f t="shared" si="0"/>
        <v>49400</v>
      </c>
      <c r="F7" s="4">
        <f t="shared" si="1"/>
        <v>6422</v>
      </c>
      <c r="G7" s="4">
        <f t="shared" si="2"/>
        <v>42978</v>
      </c>
    </row>
    <row r="8" spans="1:7" ht="16" x14ac:dyDescent="0.2">
      <c r="A8" s="2">
        <v>5</v>
      </c>
      <c r="B8" s="2" t="s">
        <v>81</v>
      </c>
      <c r="C8" s="3">
        <v>3200</v>
      </c>
      <c r="D8" s="2">
        <v>21</v>
      </c>
      <c r="E8" s="4">
        <f t="shared" si="0"/>
        <v>67200</v>
      </c>
      <c r="F8" s="4">
        <f t="shared" si="1"/>
        <v>8736</v>
      </c>
      <c r="G8" s="4">
        <f t="shared" si="2"/>
        <v>58464</v>
      </c>
    </row>
    <row r="9" spans="1:7" ht="16" x14ac:dyDescent="0.2">
      <c r="A9" s="2">
        <v>6</v>
      </c>
      <c r="B9" s="2" t="s">
        <v>82</v>
      </c>
      <c r="C9" s="3">
        <v>2200</v>
      </c>
      <c r="D9" s="2">
        <v>17</v>
      </c>
      <c r="E9" s="4">
        <f t="shared" si="0"/>
        <v>37400</v>
      </c>
      <c r="F9" s="4">
        <f t="shared" si="1"/>
        <v>4862</v>
      </c>
      <c r="G9" s="4">
        <f t="shared" si="2"/>
        <v>32538</v>
      </c>
    </row>
    <row r="10" spans="1:7" ht="16" x14ac:dyDescent="0.2">
      <c r="A10" s="2">
        <v>7</v>
      </c>
      <c r="B10" s="2" t="s">
        <v>83</v>
      </c>
      <c r="C10" s="3">
        <v>3100</v>
      </c>
      <c r="D10" s="2">
        <v>23</v>
      </c>
      <c r="E10" s="4">
        <f t="shared" si="0"/>
        <v>71300</v>
      </c>
      <c r="F10" s="4">
        <f t="shared" si="1"/>
        <v>9269</v>
      </c>
      <c r="G10" s="4">
        <f t="shared" si="2"/>
        <v>62031</v>
      </c>
    </row>
    <row r="11" spans="1:7" ht="16" x14ac:dyDescent="0.2">
      <c r="A11" s="2">
        <v>8</v>
      </c>
      <c r="B11" s="2" t="s">
        <v>84</v>
      </c>
      <c r="C11" s="3">
        <v>2500</v>
      </c>
      <c r="D11" s="2">
        <v>20</v>
      </c>
      <c r="E11" s="4">
        <f t="shared" si="0"/>
        <v>50000</v>
      </c>
      <c r="F11" s="4">
        <f t="shared" si="1"/>
        <v>6500</v>
      </c>
      <c r="G11" s="4">
        <f t="shared" si="2"/>
        <v>43500</v>
      </c>
    </row>
    <row r="12" spans="1:7" ht="16" x14ac:dyDescent="0.2">
      <c r="A12" s="2">
        <v>9</v>
      </c>
      <c r="B12" s="2" t="s">
        <v>85</v>
      </c>
      <c r="C12" s="3">
        <v>2900</v>
      </c>
      <c r="D12" s="2">
        <v>19</v>
      </c>
      <c r="E12" s="4">
        <f t="shared" si="0"/>
        <v>55100</v>
      </c>
      <c r="F12" s="4">
        <f t="shared" si="1"/>
        <v>7163</v>
      </c>
      <c r="G12" s="4">
        <f t="shared" si="2"/>
        <v>47937</v>
      </c>
    </row>
    <row r="13" spans="1:7" ht="16" x14ac:dyDescent="0.2">
      <c r="A13" s="2">
        <v>10</v>
      </c>
      <c r="B13" s="2" t="s">
        <v>86</v>
      </c>
      <c r="C13" s="3">
        <v>2300</v>
      </c>
      <c r="D13" s="2">
        <v>18</v>
      </c>
      <c r="E13" s="4">
        <f t="shared" si="0"/>
        <v>41400</v>
      </c>
      <c r="F13" s="4">
        <f t="shared" si="1"/>
        <v>5382</v>
      </c>
      <c r="G13" s="4">
        <f t="shared" si="2"/>
        <v>36018</v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51E80-DA7B-484E-B447-768063C8DC79}">
  <dimension ref="A1:D14"/>
  <sheetViews>
    <sheetView tabSelected="1" workbookViewId="0">
      <selection activeCell="D8" sqref="D8"/>
    </sheetView>
  </sheetViews>
  <sheetFormatPr baseColWidth="10" defaultColWidth="8.83203125" defaultRowHeight="15" x14ac:dyDescent="0.2"/>
  <cols>
    <col min="1" max="1" width="21.5" customWidth="1"/>
    <col min="2" max="2" width="11.33203125" customWidth="1"/>
    <col min="3" max="3" width="13.33203125" customWidth="1"/>
    <col min="4" max="4" width="12" bestFit="1" customWidth="1"/>
  </cols>
  <sheetData>
    <row r="1" spans="1:4" x14ac:dyDescent="0.2">
      <c r="A1" s="11" t="s">
        <v>87</v>
      </c>
      <c r="B1" s="11"/>
      <c r="C1" s="11"/>
      <c r="D1" s="11"/>
    </row>
    <row r="3" spans="1:4" x14ac:dyDescent="0.2">
      <c r="A3" s="11" t="s">
        <v>88</v>
      </c>
      <c r="B3" s="11"/>
      <c r="C3" s="5">
        <v>61.89</v>
      </c>
    </row>
    <row r="5" spans="1:4" ht="32" x14ac:dyDescent="0.2">
      <c r="A5" s="6" t="s">
        <v>89</v>
      </c>
      <c r="B5" s="6" t="s">
        <v>90</v>
      </c>
      <c r="C5" s="6" t="s">
        <v>87</v>
      </c>
      <c r="D5" s="6" t="s">
        <v>91</v>
      </c>
    </row>
    <row r="6" spans="1:4" x14ac:dyDescent="0.2">
      <c r="A6" s="7" t="s">
        <v>92</v>
      </c>
      <c r="B6" s="7">
        <v>187</v>
      </c>
      <c r="C6" s="7">
        <v>20</v>
      </c>
      <c r="D6" s="9">
        <f>C6*$C$3</f>
        <v>1237.8</v>
      </c>
    </row>
    <row r="7" spans="1:4" x14ac:dyDescent="0.2">
      <c r="A7" s="7" t="s">
        <v>93</v>
      </c>
      <c r="B7" s="7">
        <v>190</v>
      </c>
      <c r="C7" s="7">
        <v>20</v>
      </c>
      <c r="D7" s="9">
        <f t="shared" ref="D7:D13" si="0">C7*$C$3</f>
        <v>1237.8</v>
      </c>
    </row>
    <row r="8" spans="1:4" x14ac:dyDescent="0.2">
      <c r="A8" s="7" t="s">
        <v>94</v>
      </c>
      <c r="B8" s="7">
        <v>1450</v>
      </c>
      <c r="C8" s="7">
        <v>140</v>
      </c>
      <c r="D8" s="9">
        <f t="shared" si="0"/>
        <v>8664.6</v>
      </c>
    </row>
    <row r="9" spans="1:4" x14ac:dyDescent="0.2">
      <c r="A9" s="7" t="s">
        <v>95</v>
      </c>
      <c r="B9" s="7">
        <v>1025</v>
      </c>
      <c r="C9" s="7">
        <v>120</v>
      </c>
      <c r="D9" s="9">
        <f t="shared" si="0"/>
        <v>7426.8</v>
      </c>
    </row>
    <row r="10" spans="1:4" x14ac:dyDescent="0.2">
      <c r="A10" s="7" t="s">
        <v>96</v>
      </c>
      <c r="B10" s="7">
        <v>310</v>
      </c>
      <c r="C10" s="7">
        <v>30</v>
      </c>
      <c r="D10" s="9">
        <f t="shared" si="0"/>
        <v>1856.7</v>
      </c>
    </row>
    <row r="11" spans="1:4" x14ac:dyDescent="0.2">
      <c r="A11" s="7" t="s">
        <v>97</v>
      </c>
      <c r="B11" s="7">
        <v>720</v>
      </c>
      <c r="C11" s="7">
        <v>75</v>
      </c>
      <c r="D11" s="9">
        <f t="shared" si="0"/>
        <v>4641.75</v>
      </c>
    </row>
    <row r="12" spans="1:4" x14ac:dyDescent="0.2">
      <c r="A12" s="7" t="s">
        <v>98</v>
      </c>
      <c r="B12" s="7">
        <v>482</v>
      </c>
      <c r="C12" s="7">
        <v>50</v>
      </c>
      <c r="D12" s="9">
        <f t="shared" si="0"/>
        <v>3094.5</v>
      </c>
    </row>
    <row r="13" spans="1:4" x14ac:dyDescent="0.2">
      <c r="A13" s="7" t="s">
        <v>99</v>
      </c>
      <c r="B13" s="7">
        <v>1020</v>
      </c>
      <c r="C13" s="7">
        <v>110</v>
      </c>
      <c r="D13" s="9">
        <f t="shared" si="0"/>
        <v>6807.9</v>
      </c>
    </row>
    <row r="14" spans="1:4" x14ac:dyDescent="0.2">
      <c r="B14" s="8" t="s">
        <v>100</v>
      </c>
      <c r="C14" s="7">
        <f>SUM(C6:C13)</f>
        <v>565</v>
      </c>
      <c r="D14" s="9">
        <f>SUM(D6:D13)</f>
        <v>34967.85</v>
      </c>
    </row>
  </sheetData>
  <mergeCells count="2">
    <mergeCell ref="A1:D1"/>
    <mergeCell ref="A3:B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Диаграммы</vt:lpstr>
      </vt:variant>
      <vt:variant>
        <vt:i4>1</vt:i4>
      </vt:variant>
    </vt:vector>
  </HeadingPairs>
  <TitlesOfParts>
    <vt:vector size="4" baseType="lpstr">
      <vt:lpstr>Лист1</vt:lpstr>
      <vt:lpstr>Относительные ссылки</vt:lpstr>
      <vt:lpstr>Абсолютные ссылки</vt:lpstr>
      <vt:lpstr>Диаграмма1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KonDI</dc:creator>
  <cp:lastModifiedBy>Савкин Никита</cp:lastModifiedBy>
  <dcterms:created xsi:type="dcterms:W3CDTF">2015-06-05T18:17:20Z</dcterms:created>
  <dcterms:modified xsi:type="dcterms:W3CDTF">2025-11-25T14:02:22Z</dcterms:modified>
</cp:coreProperties>
</file>