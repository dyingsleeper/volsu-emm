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1\"/>
    </mc:Choice>
  </mc:AlternateContent>
  <xr:revisionPtr revIDLastSave="0" documentId="13_ncr:1_{93DD49C3-33DD-4C4D-BB61-7F76D118C0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абель" sheetId="1" r:id="rId1"/>
    <sheet name="Сортировк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8" i="2" l="1"/>
  <c r="F38" i="2"/>
  <c r="E38" i="2"/>
  <c r="H28" i="2"/>
  <c r="H34" i="2"/>
  <c r="H31" i="2"/>
  <c r="H37" i="2"/>
  <c r="H29" i="2"/>
  <c r="H36" i="2"/>
  <c r="H32" i="2"/>
  <c r="H35" i="2"/>
  <c r="H30" i="2"/>
  <c r="H33" i="2"/>
  <c r="G25" i="2"/>
  <c r="F25" i="2"/>
  <c r="E25" i="2"/>
  <c r="H24" i="2"/>
  <c r="H19" i="2"/>
  <c r="H21" i="2"/>
  <c r="H15" i="2"/>
  <c r="H23" i="2"/>
  <c r="H16" i="2"/>
  <c r="H20" i="2"/>
  <c r="H17" i="2"/>
  <c r="H22" i="2"/>
  <c r="H18" i="2"/>
  <c r="G12" i="2"/>
  <c r="F12" i="2"/>
  <c r="E12" i="2"/>
  <c r="I7" i="2"/>
  <c r="I9" i="2"/>
  <c r="I6" i="2"/>
  <c r="I3" i="2"/>
  <c r="H7" i="2"/>
  <c r="J7" i="2" s="1"/>
  <c r="H9" i="2"/>
  <c r="J9" i="2" s="1"/>
  <c r="H5" i="2"/>
  <c r="I5" i="2" s="1"/>
  <c r="H10" i="2"/>
  <c r="I10" i="2" s="1"/>
  <c r="H2" i="2"/>
  <c r="H12" i="2" s="1"/>
  <c r="I12" i="2" s="1"/>
  <c r="J12" i="2" s="1"/>
  <c r="H11" i="2"/>
  <c r="I11" i="2" s="1"/>
  <c r="J11" i="2" s="1"/>
  <c r="H6" i="2"/>
  <c r="J6" i="2" s="1"/>
  <c r="H3" i="2"/>
  <c r="J3" i="2" s="1"/>
  <c r="H8" i="2"/>
  <c r="I8" i="2" s="1"/>
  <c r="H4" i="2"/>
  <c r="I4" i="2" s="1"/>
  <c r="AF7" i="1"/>
  <c r="AF8" i="1"/>
  <c r="AF9" i="1"/>
  <c r="AF10" i="1"/>
  <c r="AF11" i="1"/>
  <c r="AF12" i="1"/>
  <c r="AF6" i="1"/>
  <c r="AE7" i="1"/>
  <c r="AE8" i="1"/>
  <c r="AE9" i="1"/>
  <c r="AE10" i="1"/>
  <c r="AE11" i="1"/>
  <c r="AE12" i="1"/>
  <c r="AE6" i="1"/>
  <c r="AC7" i="1"/>
  <c r="AC8" i="1"/>
  <c r="AC9" i="1"/>
  <c r="AC10" i="1"/>
  <c r="AC11" i="1"/>
  <c r="AC12" i="1"/>
  <c r="AD7" i="1"/>
  <c r="AD8" i="1"/>
  <c r="AD9" i="1"/>
  <c r="AD10" i="1"/>
  <c r="AD11" i="1"/>
  <c r="AD12" i="1"/>
  <c r="AD6" i="1"/>
  <c r="AC6" i="1"/>
  <c r="AB7" i="1"/>
  <c r="AB8" i="1"/>
  <c r="AB9" i="1"/>
  <c r="AB10" i="1"/>
  <c r="AB11" i="1"/>
  <c r="AB12" i="1"/>
  <c r="AB6" i="1"/>
  <c r="AA7" i="1"/>
  <c r="AA8" i="1"/>
  <c r="AA9" i="1"/>
  <c r="AA10" i="1"/>
  <c r="AA11" i="1"/>
  <c r="AA12" i="1"/>
  <c r="AA6" i="1"/>
  <c r="H38" i="2" l="1"/>
  <c r="H25" i="2"/>
  <c r="J4" i="2"/>
  <c r="J10" i="2"/>
  <c r="I2" i="2"/>
  <c r="J2" i="2" s="1"/>
  <c r="J8" i="2"/>
  <c r="J5" i="2"/>
  <c r="J35" i="2"/>
  <c r="J36" i="2"/>
  <c r="I38" i="2"/>
  <c r="J38" i="2" s="1"/>
  <c r="J37" i="2"/>
  <c r="I33" i="2"/>
  <c r="J33" i="2" s="1"/>
  <c r="I35" i="2"/>
  <c r="I36" i="2"/>
  <c r="I37" i="2"/>
  <c r="I34" i="2"/>
  <c r="J34" i="2" s="1"/>
  <c r="I30" i="2"/>
  <c r="J30" i="2" s="1"/>
  <c r="I32" i="2"/>
  <c r="J32" i="2" s="1"/>
  <c r="I29" i="2"/>
  <c r="J29" i="2" s="1"/>
  <c r="I31" i="2"/>
  <c r="J31" i="2" s="1"/>
  <c r="I28" i="2"/>
  <c r="J28" i="2" s="1"/>
  <c r="J16" i="2"/>
  <c r="I25" i="2"/>
  <c r="J25" i="2" s="1"/>
  <c r="J15" i="2"/>
  <c r="I18" i="2"/>
  <c r="J18" i="2" s="1"/>
  <c r="I17" i="2"/>
  <c r="J17" i="2" s="1"/>
  <c r="I16" i="2"/>
  <c r="I15" i="2"/>
  <c r="I19" i="2"/>
  <c r="J19" i="2" s="1"/>
  <c r="I22" i="2"/>
  <c r="J22" i="2" s="1"/>
  <c r="I20" i="2"/>
  <c r="J20" i="2" s="1"/>
  <c r="I23" i="2"/>
  <c r="J23" i="2" s="1"/>
  <c r="I21" i="2"/>
  <c r="J21" i="2" s="1"/>
  <c r="I24" i="2"/>
  <c r="J24" i="2" s="1"/>
</calcChain>
</file>

<file path=xl/sharedStrings.xml><?xml version="1.0" encoding="utf-8"?>
<sst xmlns="http://schemas.openxmlformats.org/spreadsheetml/2006/main" count="180" uniqueCount="67">
  <si>
    <t>ТАБЕЛЬ УЧЕТА РАБОЧЕГО ВРЕМЕНИ И РАСЧЕТ ЗАРПЛАТЫ</t>
  </si>
  <si>
    <t>ЗА ОКТЯБРЬ 2020 г.</t>
  </si>
  <si>
    <t>№</t>
  </si>
  <si>
    <t>Ф.И.О.</t>
  </si>
  <si>
    <t>Должность</t>
  </si>
  <si>
    <t>Оплата/час</t>
  </si>
  <si>
    <t>Числа месяца</t>
  </si>
  <si>
    <t>Иванов А.С.</t>
  </si>
  <si>
    <t>Петрова Е.В.</t>
  </si>
  <si>
    <t>Сидоров М.И.</t>
  </si>
  <si>
    <t>Кузнецова Т.Н.</t>
  </si>
  <si>
    <t>Смирнов Д.А.</t>
  </si>
  <si>
    <t>Волкова О.Г.</t>
  </si>
  <si>
    <t>Фёдоров И.П.</t>
  </si>
  <si>
    <t>профессор</t>
  </si>
  <si>
    <t>доцент</t>
  </si>
  <si>
    <t>ассистент</t>
  </si>
  <si>
    <t>п</t>
  </si>
  <si>
    <t>о</t>
  </si>
  <si>
    <t>б</t>
  </si>
  <si>
    <t>Дни явок</t>
  </si>
  <si>
    <t>Дни неявок</t>
  </si>
  <si>
    <t>Отпуск</t>
  </si>
  <si>
    <t>Болеет</t>
  </si>
  <si>
    <t>Прогул</t>
  </si>
  <si>
    <t>Отработано часов</t>
  </si>
  <si>
    <t>Начислено</t>
  </si>
  <si>
    <t>Фамилия</t>
  </si>
  <si>
    <t>Имя</t>
  </si>
  <si>
    <t>Отчество</t>
  </si>
  <si>
    <t>Январь</t>
  </si>
  <si>
    <t>Февраль</t>
  </si>
  <si>
    <t>Март</t>
  </si>
  <si>
    <t>Всего начислено</t>
  </si>
  <si>
    <t>Всего удержано</t>
  </si>
  <si>
    <t>Сумма к выдаче</t>
  </si>
  <si>
    <t>Иванов</t>
  </si>
  <si>
    <t>Алексей</t>
  </si>
  <si>
    <t>Сергеевич</t>
  </si>
  <si>
    <t>Петрова</t>
  </si>
  <si>
    <t>Елена</t>
  </si>
  <si>
    <t>Викторовна</t>
  </si>
  <si>
    <t>Сидоров</t>
  </si>
  <si>
    <t>Максим</t>
  </si>
  <si>
    <t>Игоревич</t>
  </si>
  <si>
    <t>Кузнецова</t>
  </si>
  <si>
    <t>Татьяна</t>
  </si>
  <si>
    <t>Николаевна</t>
  </si>
  <si>
    <t>Смирнов</t>
  </si>
  <si>
    <t>Дмитрий</t>
  </si>
  <si>
    <t>Андреевич</t>
  </si>
  <si>
    <t>Волкова</t>
  </si>
  <si>
    <t>Ольга</t>
  </si>
  <si>
    <t>Геннадьевна</t>
  </si>
  <si>
    <t>Фёдоров</t>
  </si>
  <si>
    <t>Илья</t>
  </si>
  <si>
    <t>Павлович</t>
  </si>
  <si>
    <t>Морозова</t>
  </si>
  <si>
    <t>Лариса</t>
  </si>
  <si>
    <t>Степановна</t>
  </si>
  <si>
    <t>Егоров</t>
  </si>
  <si>
    <t>Виталий</t>
  </si>
  <si>
    <t>Никитич</t>
  </si>
  <si>
    <t>Попова</t>
  </si>
  <si>
    <t>Ксения</t>
  </si>
  <si>
    <t>Руслановна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</si>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</sst>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0" fillId="0" borderId="1" xfId="0" applyNumberFormat="1" applyBorder="1" applyAlignment="1"/>
    <xf numFmtId="14" fontId="2" fillId="0" borderId="1" xfId="0" applyNumberFormat="1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/>
    <xf numFmtId="164" fontId="4" fillId="0" borderId="1" xfId="0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Табель!$AE$4</c:f>
              <c:strCache>
                <c:ptCount val="1"/>
                <c:pt idx="0">
                  <c:v>Отработано часов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 prstMaterial="plastic">
              <a:contourClr>
                <a:srgbClr val="000000"/>
              </a:contourClr>
            </a:sp3d>
          </c:spPr>
          <c:explosion val="20"/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ED-46A1-8CFF-0A387DAA3F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ED-46A1-8CFF-0A387DAA3F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ED-46A1-8CFF-0A387DAA3F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928-4A56-B903-0670E49E8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ED-46A1-8CFF-0A387DAA3F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ED-46A1-8CFF-0A387DAA3F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ED-46A1-8CFF-0A387DAA3F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 prstMaterial="plastic"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ED-46A1-8CFF-0A387DAA3F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Табель!$B$5:$B$12</c:f>
              <c:strCache>
                <c:ptCount val="8"/>
                <c:pt idx="1">
                  <c:v>Иванов А.С.</c:v>
                </c:pt>
                <c:pt idx="2">
                  <c:v>Петрова Е.В.</c:v>
                </c:pt>
                <c:pt idx="3">
                  <c:v>Сидоров М.И.</c:v>
                </c:pt>
                <c:pt idx="4">
                  <c:v>Кузнецова Т.Н.</c:v>
                </c:pt>
                <c:pt idx="5">
                  <c:v>Смирнов Д.А.</c:v>
                </c:pt>
                <c:pt idx="6">
                  <c:v>Волкова О.Г.</c:v>
                </c:pt>
                <c:pt idx="7">
                  <c:v>Фёдоров И.П.</c:v>
                </c:pt>
              </c:strCache>
            </c:strRef>
          </c:cat>
          <c:val>
            <c:numRef>
              <c:f>Табель!$AE$5:$AE$12</c:f>
              <c:numCache>
                <c:formatCode>General</c:formatCode>
                <c:ptCount val="8"/>
                <c:pt idx="1">
                  <c:v>109</c:v>
                </c:pt>
                <c:pt idx="2">
                  <c:v>125</c:v>
                </c:pt>
                <c:pt idx="3">
                  <c:v>110</c:v>
                </c:pt>
                <c:pt idx="4">
                  <c:v>127</c:v>
                </c:pt>
                <c:pt idx="5">
                  <c:v>132</c:v>
                </c:pt>
                <c:pt idx="6">
                  <c:v>84</c:v>
                </c:pt>
                <c:pt idx="7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8-4A56-B903-0670E49E8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Табель!$AF$4</c:f>
              <c:strCache>
                <c:ptCount val="1"/>
                <c:pt idx="0">
                  <c:v>Начислено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0" h="0"/>
            </a:sp3d>
          </c:spPr>
          <c:invertIfNegative val="0"/>
          <c:dLbls>
            <c:dLbl>
              <c:idx val="1"/>
              <c:layout>
                <c:manualLayout>
                  <c:x val="6.5789473684210523E-3"/>
                  <c:y val="-1.99900018510427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27-430C-BC2B-B2D0B0624A2B}"/>
                </c:ext>
              </c:extLst>
            </c:dLbl>
            <c:dLbl>
              <c:idx val="2"/>
              <c:layout>
                <c:manualLayout>
                  <c:x val="1.9736842105263157E-2"/>
                  <c:y val="-1.5992001480834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27-430C-BC2B-B2D0B0624A2B}"/>
                </c:ext>
              </c:extLst>
            </c:dLbl>
            <c:dLbl>
              <c:idx val="3"/>
              <c:layout>
                <c:manualLayout>
                  <c:x val="8.77192982456140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27-430C-BC2B-B2D0B0624A2B}"/>
                </c:ext>
              </c:extLst>
            </c:dLbl>
            <c:dLbl>
              <c:idx val="4"/>
              <c:layout>
                <c:manualLayout>
                  <c:x val="1.0964912280701754E-2"/>
                  <c:y val="-1.5992001480834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27-430C-BC2B-B2D0B0624A2B}"/>
                </c:ext>
              </c:extLst>
            </c:dLbl>
            <c:dLbl>
              <c:idx val="5"/>
              <c:layout>
                <c:manualLayout>
                  <c:x val="1.0964912280701754E-2"/>
                  <c:y val="-3.664791336708909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27-430C-BC2B-B2D0B0624A2B}"/>
                </c:ext>
              </c:extLst>
            </c:dLbl>
            <c:dLbl>
              <c:idx val="6"/>
              <c:layout>
                <c:manualLayout>
                  <c:x val="1.0964912280701754E-2"/>
                  <c:y val="-3.99800037020853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27-430C-BC2B-B2D0B0624A2B}"/>
                </c:ext>
              </c:extLst>
            </c:dLbl>
            <c:dLbl>
              <c:idx val="7"/>
              <c:layout>
                <c:manualLayout>
                  <c:x val="1.7543859649122806E-2"/>
                  <c:y val="-7.329582673417818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27-430C-BC2B-B2D0B0624A2B}"/>
                </c:ext>
              </c:extLst>
            </c:dLbl>
            <c:numFmt formatCode="#,##0.00\ &quot;₽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0" tIns="108000" rIns="0" bIns="360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Табель!$B$5:$B$12</c:f>
              <c:strCache>
                <c:ptCount val="8"/>
                <c:pt idx="1">
                  <c:v>Иванов А.С.</c:v>
                </c:pt>
                <c:pt idx="2">
                  <c:v>Петрова Е.В.</c:v>
                </c:pt>
                <c:pt idx="3">
                  <c:v>Сидоров М.И.</c:v>
                </c:pt>
                <c:pt idx="4">
                  <c:v>Кузнецова Т.Н.</c:v>
                </c:pt>
                <c:pt idx="5">
                  <c:v>Смирнов Д.А.</c:v>
                </c:pt>
                <c:pt idx="6">
                  <c:v>Волкова О.Г.</c:v>
                </c:pt>
                <c:pt idx="7">
                  <c:v>Фёдоров И.П.</c:v>
                </c:pt>
              </c:strCache>
            </c:strRef>
          </c:cat>
          <c:val>
            <c:numRef>
              <c:f>Табель!$AF$5:$AF$12</c:f>
              <c:numCache>
                <c:formatCode>#\ ##0.00\ "₽"</c:formatCode>
                <c:ptCount val="8"/>
                <c:pt idx="1">
                  <c:v>30520</c:v>
                </c:pt>
                <c:pt idx="2">
                  <c:v>30000</c:v>
                </c:pt>
                <c:pt idx="3">
                  <c:v>18700</c:v>
                </c:pt>
                <c:pt idx="4">
                  <c:v>20320</c:v>
                </c:pt>
                <c:pt idx="5">
                  <c:v>30360</c:v>
                </c:pt>
                <c:pt idx="6">
                  <c:v>24360</c:v>
                </c:pt>
                <c:pt idx="7">
                  <c:v>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7-430C-BC2B-B2D0B062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shape val="box"/>
        <c:axId val="1337004976"/>
        <c:axId val="1337012048"/>
        <c:axId val="0"/>
      </c:bar3DChart>
      <c:catAx>
        <c:axId val="13370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7012048"/>
        <c:crosses val="autoZero"/>
        <c:auto val="1"/>
        <c:lblAlgn val="ctr"/>
        <c:lblOffset val="100"/>
        <c:noMultiLvlLbl val="0"/>
      </c:catAx>
      <c:valAx>
        <c:axId val="13370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70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200865</xdr:colOff>
      <xdr:row>12</xdr:row>
      <xdr:rowOff>61226</xdr:rowOff>
    </xdr:from>
    <xdr:to>
      <xdr:col>12</xdr:col>
      <xdr:colOff>81889</xdr:colOff>
      <xdr:row>33</xdr:row>
      <xdr:rowOff>24848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3B4049-BA7A-41FB-9F8C-6837D5A5C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101876</xdr:colOff>
      <xdr:row>12</xdr:row>
      <xdr:rowOff>57769</xdr:rowOff>
    </xdr:from>
    <xdr:to>
      <xdr:col>33</xdr:col>
      <xdr:colOff>33130</xdr:colOff>
      <xdr:row>33</xdr:row>
      <xdr:rowOff>36230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2965F32-47AE-487A-8C6F-5667B8D3F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zoomScale="115" zoomScaleNormal="115" workbookViewId="0">
      <selection activeCell="AG7" sqref="AG7"/>
    </sheetView>
  </sheetViews>
  <sheetFormatPr defaultRowHeight="15" x14ac:dyDescent="0.25"/>
  <cols>
    <col min="1" max="1" width="4.140625" style="1" bestFit="1" customWidth="1"/>
    <col min="2" max="2" width="15.85546875" style="1" bestFit="1" customWidth="1"/>
    <col min="3" max="3" width="14.42578125" style="1" bestFit="1" customWidth="1"/>
    <col min="4" max="4" width="9" style="1" bestFit="1" customWidth="1"/>
    <col min="5" max="31" width="4.7109375" style="1" bestFit="1" customWidth="1"/>
    <col min="32" max="32" width="11.85546875" style="1" bestFit="1" customWidth="1"/>
    <col min="33" max="16384" width="9.140625" style="1"/>
  </cols>
  <sheetData>
    <row r="1" spans="1:32" ht="21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21" x14ac:dyDescent="0.3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4" spans="1:32" ht="18.75" x14ac:dyDescent="0.25">
      <c r="A4" s="20" t="s">
        <v>2</v>
      </c>
      <c r="B4" s="20" t="s">
        <v>3</v>
      </c>
      <c r="C4" s="20" t="s">
        <v>4</v>
      </c>
      <c r="D4" s="16" t="s">
        <v>5</v>
      </c>
      <c r="E4" s="20" t="s">
        <v>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6" t="s">
        <v>20</v>
      </c>
      <c r="AB4" s="17" t="s">
        <v>21</v>
      </c>
      <c r="AC4" s="18"/>
      <c r="AD4" s="19"/>
      <c r="AE4" s="16" t="s">
        <v>25</v>
      </c>
      <c r="AF4" s="16" t="s">
        <v>26</v>
      </c>
    </row>
    <row r="5" spans="1:32" ht="74.25" x14ac:dyDescent="0.25">
      <c r="A5" s="20"/>
      <c r="B5" s="20"/>
      <c r="C5" s="20"/>
      <c r="D5" s="16"/>
      <c r="E5" s="11">
        <v>45931</v>
      </c>
      <c r="F5" s="11">
        <v>45932</v>
      </c>
      <c r="G5" s="11">
        <v>45933</v>
      </c>
      <c r="H5" s="11">
        <v>45936</v>
      </c>
      <c r="I5" s="11">
        <v>45937</v>
      </c>
      <c r="J5" s="11">
        <v>45938</v>
      </c>
      <c r="K5" s="11">
        <v>45939</v>
      </c>
      <c r="L5" s="11">
        <v>45940</v>
      </c>
      <c r="M5" s="11">
        <v>45943</v>
      </c>
      <c r="N5" s="11">
        <v>45944</v>
      </c>
      <c r="O5" s="11">
        <v>45945</v>
      </c>
      <c r="P5" s="11">
        <v>45946</v>
      </c>
      <c r="Q5" s="11">
        <v>45947</v>
      </c>
      <c r="R5" s="11">
        <v>45950</v>
      </c>
      <c r="S5" s="11">
        <v>45951</v>
      </c>
      <c r="T5" s="11">
        <v>45952</v>
      </c>
      <c r="U5" s="11">
        <v>45953</v>
      </c>
      <c r="V5" s="11">
        <v>45954</v>
      </c>
      <c r="W5" s="11">
        <v>45957</v>
      </c>
      <c r="X5" s="11">
        <v>45958</v>
      </c>
      <c r="Y5" s="11">
        <v>45959</v>
      </c>
      <c r="Z5" s="11">
        <v>45960</v>
      </c>
      <c r="AA5" s="16"/>
      <c r="AB5" s="12" t="s">
        <v>22</v>
      </c>
      <c r="AC5" s="12" t="s">
        <v>23</v>
      </c>
      <c r="AD5" s="12" t="s">
        <v>24</v>
      </c>
      <c r="AE5" s="16"/>
      <c r="AF5" s="16"/>
    </row>
    <row r="6" spans="1:32" ht="15.75" x14ac:dyDescent="0.25">
      <c r="A6" s="13">
        <v>1</v>
      </c>
      <c r="B6" s="13" t="s">
        <v>7</v>
      </c>
      <c r="C6" s="13" t="s">
        <v>14</v>
      </c>
      <c r="D6" s="14">
        <v>280</v>
      </c>
      <c r="E6" s="15">
        <v>6</v>
      </c>
      <c r="F6" s="15">
        <v>7</v>
      </c>
      <c r="G6" s="15">
        <v>8</v>
      </c>
      <c r="H6" s="15">
        <v>5</v>
      </c>
      <c r="I6" s="15" t="s">
        <v>19</v>
      </c>
      <c r="J6" s="15">
        <v>4</v>
      </c>
      <c r="K6" s="15">
        <v>7</v>
      </c>
      <c r="L6" s="15">
        <v>8</v>
      </c>
      <c r="M6" s="15">
        <v>6</v>
      </c>
      <c r="N6" s="15">
        <v>5</v>
      </c>
      <c r="O6" s="15" t="s">
        <v>19</v>
      </c>
      <c r="P6" s="15">
        <v>8</v>
      </c>
      <c r="Q6" s="15">
        <v>6</v>
      </c>
      <c r="R6" s="15">
        <v>7</v>
      </c>
      <c r="S6" s="15" t="s">
        <v>17</v>
      </c>
      <c r="T6" s="15" t="s">
        <v>17</v>
      </c>
      <c r="U6" s="15" t="s">
        <v>17</v>
      </c>
      <c r="V6" s="15">
        <v>7</v>
      </c>
      <c r="W6" s="15">
        <v>8</v>
      </c>
      <c r="X6" s="15">
        <v>6</v>
      </c>
      <c r="Y6" s="15">
        <v>7</v>
      </c>
      <c r="Z6" s="13">
        <v>4</v>
      </c>
      <c r="AA6" s="13">
        <f>COUNT(E6:Z6)</f>
        <v>17</v>
      </c>
      <c r="AB6" s="13">
        <f>COUNTIF(E6:Z6,"о")</f>
        <v>0</v>
      </c>
      <c r="AC6" s="13">
        <f>COUNTIF(E6:Z6,"б")</f>
        <v>2</v>
      </c>
      <c r="AD6" s="13">
        <f>COUNTIF(E6:Z6,"п")</f>
        <v>3</v>
      </c>
      <c r="AE6" s="13">
        <f>SUM(E6:Z6)</f>
        <v>109</v>
      </c>
      <c r="AF6" s="14">
        <f>AE6*D6</f>
        <v>30520</v>
      </c>
    </row>
    <row r="7" spans="1:32" ht="15.75" x14ac:dyDescent="0.25">
      <c r="A7" s="13">
        <v>2</v>
      </c>
      <c r="B7" s="13" t="s">
        <v>8</v>
      </c>
      <c r="C7" s="13" t="s">
        <v>15</v>
      </c>
      <c r="D7" s="14">
        <v>240</v>
      </c>
      <c r="E7" s="15">
        <v>4</v>
      </c>
      <c r="F7" s="15">
        <v>6</v>
      </c>
      <c r="G7" s="15">
        <v>7</v>
      </c>
      <c r="H7" s="15">
        <v>8</v>
      </c>
      <c r="I7" s="15">
        <v>5</v>
      </c>
      <c r="J7" s="15">
        <v>6</v>
      </c>
      <c r="K7" s="15">
        <v>8</v>
      </c>
      <c r="L7" s="15">
        <v>7</v>
      </c>
      <c r="M7" s="15" t="s">
        <v>17</v>
      </c>
      <c r="N7" s="15">
        <v>4</v>
      </c>
      <c r="O7" s="15">
        <v>8</v>
      </c>
      <c r="P7" s="15">
        <v>6</v>
      </c>
      <c r="Q7" s="15">
        <v>7</v>
      </c>
      <c r="R7" s="15">
        <v>5</v>
      </c>
      <c r="S7" s="15">
        <v>6</v>
      </c>
      <c r="T7" s="15">
        <v>8</v>
      </c>
      <c r="U7" s="15" t="s">
        <v>18</v>
      </c>
      <c r="V7" s="15">
        <v>4</v>
      </c>
      <c r="W7" s="15">
        <v>7</v>
      </c>
      <c r="X7" s="15">
        <v>6</v>
      </c>
      <c r="Y7" s="15">
        <v>8</v>
      </c>
      <c r="Z7" s="13">
        <v>5</v>
      </c>
      <c r="AA7" s="13">
        <f t="shared" ref="AA7:AA12" si="0">COUNT(E7:Z7)</f>
        <v>20</v>
      </c>
      <c r="AB7" s="13">
        <f t="shared" ref="AB7:AB12" si="1">COUNTIF(E7:Z7,"о")</f>
        <v>1</v>
      </c>
      <c r="AC7" s="13">
        <f t="shared" ref="AC7:AC12" si="2">COUNTIF(E7:Z7,"б")</f>
        <v>0</v>
      </c>
      <c r="AD7" s="13">
        <f t="shared" ref="AD7:AD12" si="3">COUNTIF(E7:Z7,"п")</f>
        <v>1</v>
      </c>
      <c r="AE7" s="13">
        <f t="shared" ref="AE7:AE12" si="4">SUM(E7:Z7)</f>
        <v>125</v>
      </c>
      <c r="AF7" s="14">
        <f t="shared" ref="AF7:AF12" si="5">AE7*D7</f>
        <v>30000</v>
      </c>
    </row>
    <row r="8" spans="1:32" ht="15.75" x14ac:dyDescent="0.25">
      <c r="A8" s="13">
        <v>3</v>
      </c>
      <c r="B8" s="13" t="s">
        <v>9</v>
      </c>
      <c r="C8" s="13" t="s">
        <v>16</v>
      </c>
      <c r="D8" s="14">
        <v>170</v>
      </c>
      <c r="E8" s="15">
        <v>5</v>
      </c>
      <c r="F8" s="15">
        <v>4</v>
      </c>
      <c r="G8" s="15" t="s">
        <v>19</v>
      </c>
      <c r="H8" s="15" t="s">
        <v>19</v>
      </c>
      <c r="I8" s="15" t="s">
        <v>19</v>
      </c>
      <c r="J8" s="15">
        <v>8</v>
      </c>
      <c r="K8" s="15">
        <v>5</v>
      </c>
      <c r="L8" s="15">
        <v>6</v>
      </c>
      <c r="M8" s="15">
        <v>7</v>
      </c>
      <c r="N8" s="15">
        <v>8</v>
      </c>
      <c r="O8" s="15">
        <v>4</v>
      </c>
      <c r="P8" s="15">
        <v>7</v>
      </c>
      <c r="Q8" s="15">
        <v>5</v>
      </c>
      <c r="R8" s="15">
        <v>6</v>
      </c>
      <c r="S8" s="15">
        <v>7</v>
      </c>
      <c r="T8" s="15">
        <v>8</v>
      </c>
      <c r="U8" s="15">
        <v>5</v>
      </c>
      <c r="V8" s="15">
        <v>4</v>
      </c>
      <c r="W8" s="15">
        <v>6</v>
      </c>
      <c r="X8" s="15" t="s">
        <v>19</v>
      </c>
      <c r="Y8" s="15">
        <v>8</v>
      </c>
      <c r="Z8" s="13">
        <v>7</v>
      </c>
      <c r="AA8" s="13">
        <f t="shared" si="0"/>
        <v>18</v>
      </c>
      <c r="AB8" s="13">
        <f t="shared" si="1"/>
        <v>0</v>
      </c>
      <c r="AC8" s="13">
        <f t="shared" si="2"/>
        <v>4</v>
      </c>
      <c r="AD8" s="13">
        <f t="shared" si="3"/>
        <v>0</v>
      </c>
      <c r="AE8" s="13">
        <f t="shared" si="4"/>
        <v>110</v>
      </c>
      <c r="AF8" s="14">
        <f t="shared" si="5"/>
        <v>18700</v>
      </c>
    </row>
    <row r="9" spans="1:32" ht="15.75" x14ac:dyDescent="0.25">
      <c r="A9" s="13">
        <v>4</v>
      </c>
      <c r="B9" s="13" t="s">
        <v>10</v>
      </c>
      <c r="C9" s="13" t="s">
        <v>16</v>
      </c>
      <c r="D9" s="14">
        <v>160</v>
      </c>
      <c r="E9" s="15" t="s">
        <v>18</v>
      </c>
      <c r="F9" s="15">
        <v>6</v>
      </c>
      <c r="G9" s="15">
        <v>7</v>
      </c>
      <c r="H9" s="15">
        <v>5</v>
      </c>
      <c r="I9" s="15">
        <v>8</v>
      </c>
      <c r="J9" s="15">
        <v>4</v>
      </c>
      <c r="K9" s="15">
        <v>6</v>
      </c>
      <c r="L9" s="15">
        <v>7</v>
      </c>
      <c r="M9" s="15">
        <v>8</v>
      </c>
      <c r="N9" s="15">
        <v>5</v>
      </c>
      <c r="O9" s="15">
        <v>7</v>
      </c>
      <c r="P9" s="15">
        <v>8</v>
      </c>
      <c r="Q9" s="15">
        <v>6</v>
      </c>
      <c r="R9" s="15">
        <v>5</v>
      </c>
      <c r="S9" s="15">
        <v>7</v>
      </c>
      <c r="T9" s="15">
        <v>4</v>
      </c>
      <c r="U9" s="15">
        <v>8</v>
      </c>
      <c r="V9" s="15">
        <v>6</v>
      </c>
      <c r="W9" s="15" t="s">
        <v>17</v>
      </c>
      <c r="X9" s="15">
        <v>5</v>
      </c>
      <c r="Y9" s="15">
        <v>7</v>
      </c>
      <c r="Z9" s="13">
        <v>8</v>
      </c>
      <c r="AA9" s="13">
        <f t="shared" si="0"/>
        <v>20</v>
      </c>
      <c r="AB9" s="13">
        <f t="shared" si="1"/>
        <v>1</v>
      </c>
      <c r="AC9" s="13">
        <f t="shared" si="2"/>
        <v>0</v>
      </c>
      <c r="AD9" s="13">
        <f t="shared" si="3"/>
        <v>1</v>
      </c>
      <c r="AE9" s="13">
        <f t="shared" si="4"/>
        <v>127</v>
      </c>
      <c r="AF9" s="14">
        <f t="shared" si="5"/>
        <v>20320</v>
      </c>
    </row>
    <row r="10" spans="1:32" ht="15.75" x14ac:dyDescent="0.25">
      <c r="A10" s="13">
        <v>5</v>
      </c>
      <c r="B10" s="13" t="s">
        <v>11</v>
      </c>
      <c r="C10" s="13" t="s">
        <v>15</v>
      </c>
      <c r="D10" s="14">
        <v>230</v>
      </c>
      <c r="E10" s="15">
        <v>6</v>
      </c>
      <c r="F10" s="15">
        <v>5</v>
      </c>
      <c r="G10" s="15">
        <v>7</v>
      </c>
      <c r="H10" s="15">
        <v>8</v>
      </c>
      <c r="I10" s="15">
        <v>4</v>
      </c>
      <c r="J10" s="15">
        <v>6</v>
      </c>
      <c r="K10" s="15">
        <v>7</v>
      </c>
      <c r="L10" s="15">
        <v>8</v>
      </c>
      <c r="M10" s="15">
        <v>5</v>
      </c>
      <c r="N10" s="15" t="s">
        <v>18</v>
      </c>
      <c r="O10" s="15">
        <v>6</v>
      </c>
      <c r="P10" s="15">
        <v>4</v>
      </c>
      <c r="Q10" s="15">
        <v>8</v>
      </c>
      <c r="R10" s="15">
        <v>7</v>
      </c>
      <c r="S10" s="15">
        <v>6</v>
      </c>
      <c r="T10" s="15">
        <v>5</v>
      </c>
      <c r="U10" s="15">
        <v>8</v>
      </c>
      <c r="V10" s="15">
        <v>7</v>
      </c>
      <c r="W10" s="15">
        <v>6</v>
      </c>
      <c r="X10" s="15">
        <v>4</v>
      </c>
      <c r="Y10" s="15">
        <v>8</v>
      </c>
      <c r="Z10" s="13">
        <v>7</v>
      </c>
      <c r="AA10" s="13">
        <f t="shared" si="0"/>
        <v>21</v>
      </c>
      <c r="AB10" s="13">
        <f t="shared" si="1"/>
        <v>1</v>
      </c>
      <c r="AC10" s="13">
        <f t="shared" si="2"/>
        <v>0</v>
      </c>
      <c r="AD10" s="13">
        <f t="shared" si="3"/>
        <v>0</v>
      </c>
      <c r="AE10" s="13">
        <f t="shared" si="4"/>
        <v>132</v>
      </c>
      <c r="AF10" s="14">
        <f t="shared" si="5"/>
        <v>30360</v>
      </c>
    </row>
    <row r="11" spans="1:32" ht="15.75" x14ac:dyDescent="0.25">
      <c r="A11" s="13">
        <v>6</v>
      </c>
      <c r="B11" s="13" t="s">
        <v>12</v>
      </c>
      <c r="C11" s="13" t="s">
        <v>14</v>
      </c>
      <c r="D11" s="14">
        <v>290</v>
      </c>
      <c r="E11" s="15">
        <v>8</v>
      </c>
      <c r="F11" s="15">
        <v>7</v>
      </c>
      <c r="G11" s="15">
        <v>5</v>
      </c>
      <c r="H11" s="15">
        <v>4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18</v>
      </c>
      <c r="N11" s="15">
        <v>6</v>
      </c>
      <c r="O11" s="15">
        <v>7</v>
      </c>
      <c r="P11" s="15">
        <v>8</v>
      </c>
      <c r="Q11" s="15">
        <v>4</v>
      </c>
      <c r="R11" s="15">
        <v>5</v>
      </c>
      <c r="S11" s="15" t="s">
        <v>19</v>
      </c>
      <c r="T11" s="15" t="s">
        <v>19</v>
      </c>
      <c r="U11" s="15" t="s">
        <v>19</v>
      </c>
      <c r="V11" s="15">
        <v>8</v>
      </c>
      <c r="W11" s="15">
        <v>5</v>
      </c>
      <c r="X11" s="15">
        <v>4</v>
      </c>
      <c r="Y11" s="15">
        <v>7</v>
      </c>
      <c r="Z11" s="13">
        <v>6</v>
      </c>
      <c r="AA11" s="13">
        <f t="shared" si="0"/>
        <v>14</v>
      </c>
      <c r="AB11" s="13">
        <f t="shared" si="1"/>
        <v>5</v>
      </c>
      <c r="AC11" s="13">
        <f t="shared" si="2"/>
        <v>3</v>
      </c>
      <c r="AD11" s="13">
        <f t="shared" si="3"/>
        <v>0</v>
      </c>
      <c r="AE11" s="13">
        <f t="shared" si="4"/>
        <v>84</v>
      </c>
      <c r="AF11" s="14">
        <f t="shared" si="5"/>
        <v>24360</v>
      </c>
    </row>
    <row r="12" spans="1:32" ht="15.75" x14ac:dyDescent="0.25">
      <c r="A12" s="13">
        <v>7</v>
      </c>
      <c r="B12" s="13" t="s">
        <v>13</v>
      </c>
      <c r="C12" s="13" t="s">
        <v>15</v>
      </c>
      <c r="D12" s="14">
        <v>250</v>
      </c>
      <c r="E12" s="15">
        <v>5</v>
      </c>
      <c r="F12" s="15">
        <v>4</v>
      </c>
      <c r="G12" s="15">
        <v>6</v>
      </c>
      <c r="H12" s="15">
        <v>8</v>
      </c>
      <c r="I12" s="15">
        <v>7</v>
      </c>
      <c r="J12" s="15">
        <v>5</v>
      </c>
      <c r="K12" s="15">
        <v>8</v>
      </c>
      <c r="L12" s="15" t="s">
        <v>18</v>
      </c>
      <c r="M12" s="15" t="s">
        <v>18</v>
      </c>
      <c r="N12" s="15" t="s">
        <v>18</v>
      </c>
      <c r="O12" s="15" t="s">
        <v>18</v>
      </c>
      <c r="P12" s="15" t="s">
        <v>18</v>
      </c>
      <c r="Q12" s="15">
        <v>8</v>
      </c>
      <c r="R12" s="15">
        <v>6</v>
      </c>
      <c r="S12" s="15" t="s">
        <v>19</v>
      </c>
      <c r="T12" s="15" t="s">
        <v>19</v>
      </c>
      <c r="U12" s="15">
        <v>4</v>
      </c>
      <c r="V12" s="15">
        <v>8</v>
      </c>
      <c r="W12" s="15">
        <v>6</v>
      </c>
      <c r="X12" s="15">
        <v>7</v>
      </c>
      <c r="Y12" s="15">
        <v>5</v>
      </c>
      <c r="Z12" s="13">
        <v>8</v>
      </c>
      <c r="AA12" s="13">
        <f t="shared" si="0"/>
        <v>15</v>
      </c>
      <c r="AB12" s="13">
        <f t="shared" si="1"/>
        <v>5</v>
      </c>
      <c r="AC12" s="13">
        <f t="shared" si="2"/>
        <v>2</v>
      </c>
      <c r="AD12" s="13">
        <f t="shared" si="3"/>
        <v>0</v>
      </c>
      <c r="AE12" s="13">
        <f t="shared" si="4"/>
        <v>95</v>
      </c>
      <c r="AF12" s="14">
        <f t="shared" si="5"/>
        <v>23750</v>
      </c>
    </row>
  </sheetData>
  <mergeCells count="11">
    <mergeCell ref="A1:AF1"/>
    <mergeCell ref="A2:AF2"/>
    <mergeCell ref="A4:A5"/>
    <mergeCell ref="B4:B5"/>
    <mergeCell ref="C4:C5"/>
    <mergeCell ref="D4:D5"/>
    <mergeCell ref="AA4:AA5"/>
    <mergeCell ref="AE4:AE5"/>
    <mergeCell ref="AF4:AF5"/>
    <mergeCell ref="AB4:AD4"/>
    <mergeCell ref="E4:Z4"/>
  </mergeCells>
  <dataValidations count="1">
    <dataValidation type="decimal" allowBlank="1" showInputMessage="1" showErrorMessage="1" error="ОШИБКА!!! НЕ МЕНЕЕ 150 РУБ. И НЕ БОЛЕЕ 300 РУБ." prompt="БУДЬТЕ ВНИМАТЕЛЬНЫ ПРИ ВВОДЕ ПОЧАСОВОЙ ОПЛАТЫ!!!" sqref="D6:D12" xr:uid="{D05FFAF9-098F-4306-A670-1A7752985857}">
      <formula1>150</formula1>
      <formula2>300</formula2>
    </dataValidation>
  </dataValidations>
  <pageMargins left="0.7" right="0.7" top="0.75" bottom="0.75" header="0.3" footer="0.3"/>
  <pageSetup paperSize="9" fitToWidth="0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E98D-FB52-428E-B107-B05BE6244C01}">
  <dimension ref="A1:J38"/>
  <sheetViews>
    <sheetView tabSelected="1" workbookViewId="0">
      <selection activeCell="P10" sqref="P10"/>
    </sheetView>
  </sheetViews>
  <sheetFormatPr defaultRowHeight="15" x14ac:dyDescent="0.25"/>
  <cols>
    <col min="1" max="1" width="3.28515625" style="1" bestFit="1" customWidth="1"/>
    <col min="2" max="2" width="10.5703125" style="1" bestFit="1" customWidth="1"/>
    <col min="3" max="3" width="9.28515625" style="1" bestFit="1" customWidth="1"/>
    <col min="4" max="4" width="12.7109375" style="1" bestFit="1" customWidth="1"/>
    <col min="5" max="7" width="11.5703125" style="1" bestFit="1" customWidth="1"/>
    <col min="8" max="8" width="16.28515625" style="1" bestFit="1" customWidth="1"/>
    <col min="9" max="9" width="16" style="1" bestFit="1" customWidth="1"/>
    <col min="10" max="10" width="16.28515625" style="1" bestFit="1" customWidth="1"/>
    <col min="11" max="16384" width="9.140625" style="1"/>
  </cols>
  <sheetData>
    <row r="1" spans="1:10" ht="47.25" x14ac:dyDescent="0.25">
      <c r="A1" s="3" t="s">
        <v>2</v>
      </c>
      <c r="B1" s="3" t="s">
        <v>27</v>
      </c>
      <c r="C1" s="3" t="s">
        <v>28</v>
      </c>
      <c r="D1" s="3" t="s">
        <v>29</v>
      </c>
      <c r="E1" s="4" t="s">
        <v>30</v>
      </c>
      <c r="F1" s="4" t="s">
        <v>31</v>
      </c>
      <c r="G1" s="4" t="s">
        <v>32</v>
      </c>
      <c r="H1" s="3" t="s">
        <v>33</v>
      </c>
      <c r="I1" s="3" t="s">
        <v>34</v>
      </c>
      <c r="J1" s="3" t="s">
        <v>35</v>
      </c>
    </row>
    <row r="2" spans="1:10" x14ac:dyDescent="0.25">
      <c r="A2" s="2">
        <v>1</v>
      </c>
      <c r="B2" s="5" t="s">
        <v>51</v>
      </c>
      <c r="C2" s="6" t="s">
        <v>52</v>
      </c>
      <c r="D2" s="7" t="s">
        <v>53</v>
      </c>
      <c r="E2" s="8">
        <v>44800</v>
      </c>
      <c r="F2" s="8">
        <v>46200</v>
      </c>
      <c r="G2" s="8">
        <v>45900</v>
      </c>
      <c r="H2" s="8">
        <f t="shared" ref="H2:H11" si="0">SUM(E2:G2)</f>
        <v>136900</v>
      </c>
      <c r="I2" s="8">
        <f t="shared" ref="I2:I11" si="1">H2*13%</f>
        <v>17797</v>
      </c>
      <c r="J2" s="8">
        <f t="shared" ref="J2:J11" si="2">H2-I2</f>
        <v>119103</v>
      </c>
    </row>
    <row r="3" spans="1:10" x14ac:dyDescent="0.25">
      <c r="A3" s="2">
        <v>2</v>
      </c>
      <c r="B3" s="5" t="s">
        <v>60</v>
      </c>
      <c r="C3" s="6" t="s">
        <v>61</v>
      </c>
      <c r="D3" s="7" t="s">
        <v>62</v>
      </c>
      <c r="E3" s="8">
        <v>50900</v>
      </c>
      <c r="F3" s="8">
        <v>51300</v>
      </c>
      <c r="G3" s="8">
        <v>52400</v>
      </c>
      <c r="H3" s="8">
        <f t="shared" si="0"/>
        <v>154600</v>
      </c>
      <c r="I3" s="8">
        <f t="shared" si="1"/>
        <v>20098</v>
      </c>
      <c r="J3" s="8">
        <f t="shared" si="2"/>
        <v>134502</v>
      </c>
    </row>
    <row r="4" spans="1:10" x14ac:dyDescent="0.25">
      <c r="A4" s="2">
        <v>3</v>
      </c>
      <c r="B4" s="5" t="s">
        <v>36</v>
      </c>
      <c r="C4" s="6" t="s">
        <v>37</v>
      </c>
      <c r="D4" s="7" t="s">
        <v>38</v>
      </c>
      <c r="E4" s="8">
        <v>52000</v>
      </c>
      <c r="F4" s="8">
        <v>48500</v>
      </c>
      <c r="G4" s="8">
        <v>50300</v>
      </c>
      <c r="H4" s="8">
        <f t="shared" si="0"/>
        <v>150800</v>
      </c>
      <c r="I4" s="8">
        <f t="shared" si="1"/>
        <v>19604</v>
      </c>
      <c r="J4" s="8">
        <f t="shared" si="2"/>
        <v>131196</v>
      </c>
    </row>
    <row r="5" spans="1:10" x14ac:dyDescent="0.25">
      <c r="A5" s="2">
        <v>4</v>
      </c>
      <c r="B5" s="5" t="s">
        <v>45</v>
      </c>
      <c r="C5" s="6" t="s">
        <v>46</v>
      </c>
      <c r="D5" s="7" t="s">
        <v>47</v>
      </c>
      <c r="E5" s="8">
        <v>48300</v>
      </c>
      <c r="F5" s="8">
        <v>49800</v>
      </c>
      <c r="G5" s="8">
        <v>50100</v>
      </c>
      <c r="H5" s="8">
        <f t="shared" si="0"/>
        <v>148200</v>
      </c>
      <c r="I5" s="8">
        <f t="shared" si="1"/>
        <v>19266</v>
      </c>
      <c r="J5" s="8">
        <f t="shared" si="2"/>
        <v>128934</v>
      </c>
    </row>
    <row r="6" spans="1:10" x14ac:dyDescent="0.25">
      <c r="A6" s="2">
        <v>5</v>
      </c>
      <c r="B6" s="5" t="s">
        <v>57</v>
      </c>
      <c r="C6" s="6" t="s">
        <v>58</v>
      </c>
      <c r="D6" s="7" t="s">
        <v>59</v>
      </c>
      <c r="E6" s="8">
        <v>46700</v>
      </c>
      <c r="F6" s="8">
        <v>47900</v>
      </c>
      <c r="G6" s="8">
        <v>48600</v>
      </c>
      <c r="H6" s="8">
        <f t="shared" si="0"/>
        <v>143200</v>
      </c>
      <c r="I6" s="8">
        <f t="shared" si="1"/>
        <v>18616</v>
      </c>
      <c r="J6" s="8">
        <f t="shared" si="2"/>
        <v>124584</v>
      </c>
    </row>
    <row r="7" spans="1:10" x14ac:dyDescent="0.25">
      <c r="A7" s="2">
        <v>6</v>
      </c>
      <c r="B7" s="5" t="s">
        <v>39</v>
      </c>
      <c r="C7" s="6" t="s">
        <v>40</v>
      </c>
      <c r="D7" s="7" t="s">
        <v>41</v>
      </c>
      <c r="E7" s="8">
        <v>45700</v>
      </c>
      <c r="F7" s="8">
        <v>47200</v>
      </c>
      <c r="G7" s="8">
        <v>46900</v>
      </c>
      <c r="H7" s="8">
        <f t="shared" si="0"/>
        <v>139800</v>
      </c>
      <c r="I7" s="8">
        <f t="shared" si="1"/>
        <v>18174</v>
      </c>
      <c r="J7" s="8">
        <f t="shared" si="2"/>
        <v>121626</v>
      </c>
    </row>
    <row r="8" spans="1:10" x14ac:dyDescent="0.25">
      <c r="A8" s="2">
        <v>7</v>
      </c>
      <c r="B8" s="5" t="s">
        <v>63</v>
      </c>
      <c r="C8" s="6" t="s">
        <v>64</v>
      </c>
      <c r="D8" s="7" t="s">
        <v>65</v>
      </c>
      <c r="E8" s="8">
        <v>43600</v>
      </c>
      <c r="F8" s="8">
        <v>44800</v>
      </c>
      <c r="G8" s="8">
        <v>46000</v>
      </c>
      <c r="H8" s="8">
        <f t="shared" si="0"/>
        <v>134400</v>
      </c>
      <c r="I8" s="8">
        <f t="shared" si="1"/>
        <v>17472</v>
      </c>
      <c r="J8" s="8">
        <f t="shared" si="2"/>
        <v>116928</v>
      </c>
    </row>
    <row r="9" spans="1:10" x14ac:dyDescent="0.25">
      <c r="A9" s="2">
        <v>8</v>
      </c>
      <c r="B9" s="5" t="s">
        <v>42</v>
      </c>
      <c r="C9" s="6" t="s">
        <v>43</v>
      </c>
      <c r="D9" s="7" t="s">
        <v>44</v>
      </c>
      <c r="E9" s="8">
        <v>55000</v>
      </c>
      <c r="F9" s="8">
        <v>53600</v>
      </c>
      <c r="G9" s="8">
        <v>54400</v>
      </c>
      <c r="H9" s="8">
        <f t="shared" si="0"/>
        <v>163000</v>
      </c>
      <c r="I9" s="8">
        <f t="shared" si="1"/>
        <v>21190</v>
      </c>
      <c r="J9" s="8">
        <f t="shared" si="2"/>
        <v>141810</v>
      </c>
    </row>
    <row r="10" spans="1:10" x14ac:dyDescent="0.25">
      <c r="A10" s="2">
        <v>9</v>
      </c>
      <c r="B10" s="5" t="s">
        <v>48</v>
      </c>
      <c r="C10" s="6" t="s">
        <v>49</v>
      </c>
      <c r="D10" s="7" t="s">
        <v>50</v>
      </c>
      <c r="E10" s="8">
        <v>57000</v>
      </c>
      <c r="F10" s="8">
        <v>56500</v>
      </c>
      <c r="G10" s="8">
        <v>55800</v>
      </c>
      <c r="H10" s="8">
        <f t="shared" si="0"/>
        <v>169300</v>
      </c>
      <c r="I10" s="8">
        <f t="shared" si="1"/>
        <v>22009</v>
      </c>
      <c r="J10" s="8">
        <f t="shared" si="2"/>
        <v>147291</v>
      </c>
    </row>
    <row r="11" spans="1:10" x14ac:dyDescent="0.25">
      <c r="A11" s="2">
        <v>10</v>
      </c>
      <c r="B11" s="5" t="s">
        <v>54</v>
      </c>
      <c r="C11" s="6" t="s">
        <v>55</v>
      </c>
      <c r="D11" s="7" t="s">
        <v>56</v>
      </c>
      <c r="E11" s="8">
        <v>58500</v>
      </c>
      <c r="F11" s="8">
        <v>57400</v>
      </c>
      <c r="G11" s="8">
        <v>59200</v>
      </c>
      <c r="H11" s="8">
        <f t="shared" si="0"/>
        <v>175100</v>
      </c>
      <c r="I11" s="8">
        <f t="shared" si="1"/>
        <v>22763</v>
      </c>
      <c r="J11" s="8">
        <f t="shared" si="2"/>
        <v>152337</v>
      </c>
    </row>
    <row r="12" spans="1:10" x14ac:dyDescent="0.25">
      <c r="D12" s="9" t="s">
        <v>66</v>
      </c>
      <c r="E12" s="10">
        <f>SUM(E2:E11)</f>
        <v>502500</v>
      </c>
      <c r="F12" s="10">
        <f>SUM(F2:F11)</f>
        <v>503200</v>
      </c>
      <c r="G12" s="10">
        <f>SUM(G2:G11)</f>
        <v>509600</v>
      </c>
      <c r="H12" s="10">
        <f>SUM(H2:H11)</f>
        <v>1515300</v>
      </c>
      <c r="I12" s="10">
        <f t="shared" ref="I12" si="3">H12*13%</f>
        <v>196989</v>
      </c>
      <c r="J12" s="10">
        <f t="shared" ref="J12" si="4">H12-I12</f>
        <v>1318311</v>
      </c>
    </row>
    <row r="14" spans="1:10" ht="47.25" x14ac:dyDescent="0.25">
      <c r="A14" s="3" t="s">
        <v>2</v>
      </c>
      <c r="B14" s="3" t="s">
        <v>27</v>
      </c>
      <c r="C14" s="3" t="s">
        <v>28</v>
      </c>
      <c r="D14" s="3" t="s">
        <v>29</v>
      </c>
      <c r="E14" s="4" t="s">
        <v>30</v>
      </c>
      <c r="F14" s="4" t="s">
        <v>31</v>
      </c>
      <c r="G14" s="4" t="s">
        <v>32</v>
      </c>
      <c r="H14" s="3" t="s">
        <v>33</v>
      </c>
      <c r="I14" s="3" t="s">
        <v>34</v>
      </c>
      <c r="J14" s="3" t="s">
        <v>35</v>
      </c>
    </row>
    <row r="15" spans="1:10" x14ac:dyDescent="0.25">
      <c r="A15" s="2">
        <v>1</v>
      </c>
      <c r="B15" s="2" t="s">
        <v>54</v>
      </c>
      <c r="C15" s="2" t="s">
        <v>55</v>
      </c>
      <c r="D15" s="2" t="s">
        <v>56</v>
      </c>
      <c r="E15" s="8">
        <v>58500</v>
      </c>
      <c r="F15" s="8">
        <v>57400</v>
      </c>
      <c r="G15" s="8">
        <v>59200</v>
      </c>
      <c r="H15" s="8">
        <f t="shared" ref="H15:H24" si="5">SUM(E15:G15)</f>
        <v>175100</v>
      </c>
      <c r="I15" s="8">
        <f t="shared" ref="I15:I24" si="6">H15*13%</f>
        <v>22763</v>
      </c>
      <c r="J15" s="8">
        <f t="shared" ref="J15:J24" si="7">H15-I15</f>
        <v>152337</v>
      </c>
    </row>
    <row r="16" spans="1:10" x14ac:dyDescent="0.25">
      <c r="A16" s="2">
        <v>2</v>
      </c>
      <c r="B16" s="2" t="s">
        <v>48</v>
      </c>
      <c r="C16" s="2" t="s">
        <v>49</v>
      </c>
      <c r="D16" s="2" t="s">
        <v>50</v>
      </c>
      <c r="E16" s="8">
        <v>57000</v>
      </c>
      <c r="F16" s="8">
        <v>56500</v>
      </c>
      <c r="G16" s="8">
        <v>55800</v>
      </c>
      <c r="H16" s="8">
        <f t="shared" si="5"/>
        <v>169300</v>
      </c>
      <c r="I16" s="8">
        <f t="shared" si="6"/>
        <v>22009</v>
      </c>
      <c r="J16" s="8">
        <f t="shared" si="7"/>
        <v>147291</v>
      </c>
    </row>
    <row r="17" spans="1:10" x14ac:dyDescent="0.25">
      <c r="A17" s="2">
        <v>3</v>
      </c>
      <c r="B17" s="2" t="s">
        <v>42</v>
      </c>
      <c r="C17" s="2" t="s">
        <v>43</v>
      </c>
      <c r="D17" s="2" t="s">
        <v>44</v>
      </c>
      <c r="E17" s="8">
        <v>55000</v>
      </c>
      <c r="F17" s="8">
        <v>53600</v>
      </c>
      <c r="G17" s="8">
        <v>54400</v>
      </c>
      <c r="H17" s="8">
        <f t="shared" si="5"/>
        <v>163000</v>
      </c>
      <c r="I17" s="8">
        <f t="shared" si="6"/>
        <v>21190</v>
      </c>
      <c r="J17" s="8">
        <f t="shared" si="7"/>
        <v>141810</v>
      </c>
    </row>
    <row r="18" spans="1:10" x14ac:dyDescent="0.25">
      <c r="A18" s="2">
        <v>4</v>
      </c>
      <c r="B18" s="2" t="s">
        <v>36</v>
      </c>
      <c r="C18" s="2" t="s">
        <v>37</v>
      </c>
      <c r="D18" s="2" t="s">
        <v>38</v>
      </c>
      <c r="E18" s="8">
        <v>52000</v>
      </c>
      <c r="F18" s="8">
        <v>48500</v>
      </c>
      <c r="G18" s="8">
        <v>50300</v>
      </c>
      <c r="H18" s="8">
        <f t="shared" si="5"/>
        <v>150800</v>
      </c>
      <c r="I18" s="8">
        <f t="shared" si="6"/>
        <v>19604</v>
      </c>
      <c r="J18" s="8">
        <f t="shared" si="7"/>
        <v>131196</v>
      </c>
    </row>
    <row r="19" spans="1:10" x14ac:dyDescent="0.25">
      <c r="A19" s="2">
        <v>5</v>
      </c>
      <c r="B19" s="2" t="s">
        <v>60</v>
      </c>
      <c r="C19" s="2" t="s">
        <v>61</v>
      </c>
      <c r="D19" s="2" t="s">
        <v>62</v>
      </c>
      <c r="E19" s="8">
        <v>50900</v>
      </c>
      <c r="F19" s="8">
        <v>51300</v>
      </c>
      <c r="G19" s="8">
        <v>52400</v>
      </c>
      <c r="H19" s="8">
        <f t="shared" si="5"/>
        <v>154600</v>
      </c>
      <c r="I19" s="8">
        <f t="shared" si="6"/>
        <v>20098</v>
      </c>
      <c r="J19" s="8">
        <f t="shared" si="7"/>
        <v>134502</v>
      </c>
    </row>
    <row r="20" spans="1:10" x14ac:dyDescent="0.25">
      <c r="A20" s="2">
        <v>6</v>
      </c>
      <c r="B20" s="2" t="s">
        <v>45</v>
      </c>
      <c r="C20" s="2" t="s">
        <v>46</v>
      </c>
      <c r="D20" s="2" t="s">
        <v>47</v>
      </c>
      <c r="E20" s="8">
        <v>48300</v>
      </c>
      <c r="F20" s="8">
        <v>49800</v>
      </c>
      <c r="G20" s="8">
        <v>50100</v>
      </c>
      <c r="H20" s="8">
        <f t="shared" si="5"/>
        <v>148200</v>
      </c>
      <c r="I20" s="8">
        <f t="shared" si="6"/>
        <v>19266</v>
      </c>
      <c r="J20" s="8">
        <f t="shared" si="7"/>
        <v>128934</v>
      </c>
    </row>
    <row r="21" spans="1:10" x14ac:dyDescent="0.25">
      <c r="A21" s="2">
        <v>7</v>
      </c>
      <c r="B21" s="2" t="s">
        <v>57</v>
      </c>
      <c r="C21" s="2" t="s">
        <v>58</v>
      </c>
      <c r="D21" s="2" t="s">
        <v>59</v>
      </c>
      <c r="E21" s="8">
        <v>46700</v>
      </c>
      <c r="F21" s="8">
        <v>47900</v>
      </c>
      <c r="G21" s="8">
        <v>48600</v>
      </c>
      <c r="H21" s="8">
        <f t="shared" si="5"/>
        <v>143200</v>
      </c>
      <c r="I21" s="8">
        <f t="shared" si="6"/>
        <v>18616</v>
      </c>
      <c r="J21" s="8">
        <f t="shared" si="7"/>
        <v>124584</v>
      </c>
    </row>
    <row r="22" spans="1:10" x14ac:dyDescent="0.25">
      <c r="A22" s="2">
        <v>8</v>
      </c>
      <c r="B22" s="2" t="s">
        <v>39</v>
      </c>
      <c r="C22" s="2" t="s">
        <v>40</v>
      </c>
      <c r="D22" s="2" t="s">
        <v>41</v>
      </c>
      <c r="E22" s="8">
        <v>45700</v>
      </c>
      <c r="F22" s="8">
        <v>47200</v>
      </c>
      <c r="G22" s="8">
        <v>46900</v>
      </c>
      <c r="H22" s="8">
        <f t="shared" si="5"/>
        <v>139800</v>
      </c>
      <c r="I22" s="8">
        <f t="shared" si="6"/>
        <v>18174</v>
      </c>
      <c r="J22" s="8">
        <f t="shared" si="7"/>
        <v>121626</v>
      </c>
    </row>
    <row r="23" spans="1:10" x14ac:dyDescent="0.25">
      <c r="A23" s="2">
        <v>9</v>
      </c>
      <c r="B23" s="2" t="s">
        <v>51</v>
      </c>
      <c r="C23" s="2" t="s">
        <v>52</v>
      </c>
      <c r="D23" s="2" t="s">
        <v>53</v>
      </c>
      <c r="E23" s="8">
        <v>44800</v>
      </c>
      <c r="F23" s="8">
        <v>46200</v>
      </c>
      <c r="G23" s="8">
        <v>45900</v>
      </c>
      <c r="H23" s="8">
        <f t="shared" si="5"/>
        <v>136900</v>
      </c>
      <c r="I23" s="8">
        <f t="shared" si="6"/>
        <v>17797</v>
      </c>
      <c r="J23" s="8">
        <f t="shared" si="7"/>
        <v>119103</v>
      </c>
    </row>
    <row r="24" spans="1:10" x14ac:dyDescent="0.25">
      <c r="A24" s="2">
        <v>10</v>
      </c>
      <c r="B24" s="2" t="s">
        <v>63</v>
      </c>
      <c r="C24" s="2" t="s">
        <v>64</v>
      </c>
      <c r="D24" s="2" t="s">
        <v>65</v>
      </c>
      <c r="E24" s="8">
        <v>43600</v>
      </c>
      <c r="F24" s="8">
        <v>44800</v>
      </c>
      <c r="G24" s="8">
        <v>46000</v>
      </c>
      <c r="H24" s="8">
        <f t="shared" si="5"/>
        <v>134400</v>
      </c>
      <c r="I24" s="8">
        <f t="shared" si="6"/>
        <v>17472</v>
      </c>
      <c r="J24" s="8">
        <f t="shared" si="7"/>
        <v>116928</v>
      </c>
    </row>
    <row r="25" spans="1:10" x14ac:dyDescent="0.25">
      <c r="D25" s="9" t="s">
        <v>66</v>
      </c>
      <c r="E25" s="10">
        <f>SUM(E15:E24)</f>
        <v>502500</v>
      </c>
      <c r="F25" s="10">
        <f>SUM(F15:F24)</f>
        <v>503200</v>
      </c>
      <c r="G25" s="10">
        <f>SUM(G15:G24)</f>
        <v>509600</v>
      </c>
      <c r="H25" s="10">
        <f>SUM(H15:H24)</f>
        <v>1515300</v>
      </c>
      <c r="I25" s="10">
        <f t="shared" ref="I25" si="8">H25*13%</f>
        <v>196989</v>
      </c>
      <c r="J25" s="10">
        <f t="shared" ref="J25" si="9">H25-I25</f>
        <v>1318311</v>
      </c>
    </row>
    <row r="27" spans="1:10" ht="47.25" x14ac:dyDescent="0.25">
      <c r="A27" s="3" t="s">
        <v>2</v>
      </c>
      <c r="B27" s="3" t="s">
        <v>27</v>
      </c>
      <c r="C27" s="3" t="s">
        <v>28</v>
      </c>
      <c r="D27" s="3" t="s">
        <v>29</v>
      </c>
      <c r="E27" s="4" t="s">
        <v>30</v>
      </c>
      <c r="F27" s="4" t="s">
        <v>31</v>
      </c>
      <c r="G27" s="4" t="s">
        <v>32</v>
      </c>
      <c r="H27" s="3" t="s">
        <v>33</v>
      </c>
      <c r="I27" s="3" t="s">
        <v>34</v>
      </c>
      <c r="J27" s="3" t="s">
        <v>35</v>
      </c>
    </row>
    <row r="28" spans="1:10" x14ac:dyDescent="0.25">
      <c r="A28" s="2">
        <v>1</v>
      </c>
      <c r="B28" s="2" t="s">
        <v>63</v>
      </c>
      <c r="C28" s="2" t="s">
        <v>64</v>
      </c>
      <c r="D28" s="2" t="s">
        <v>65</v>
      </c>
      <c r="E28" s="8">
        <v>43600</v>
      </c>
      <c r="F28" s="8">
        <v>44800</v>
      </c>
      <c r="G28" s="8">
        <v>46000</v>
      </c>
      <c r="H28" s="8">
        <f t="shared" ref="H28:H37" si="10">SUM(E28:G28)</f>
        <v>134400</v>
      </c>
      <c r="I28" s="8">
        <f t="shared" ref="I28:I37" si="11">H28*13%</f>
        <v>17472</v>
      </c>
      <c r="J28" s="8">
        <f t="shared" ref="J28:J37" si="12">H28-I28</f>
        <v>116928</v>
      </c>
    </row>
    <row r="29" spans="1:10" x14ac:dyDescent="0.25">
      <c r="A29" s="2">
        <v>2</v>
      </c>
      <c r="B29" s="2" t="s">
        <v>51</v>
      </c>
      <c r="C29" s="2" t="s">
        <v>52</v>
      </c>
      <c r="D29" s="2" t="s">
        <v>53</v>
      </c>
      <c r="E29" s="8">
        <v>44800</v>
      </c>
      <c r="F29" s="8">
        <v>46200</v>
      </c>
      <c r="G29" s="8">
        <v>45900</v>
      </c>
      <c r="H29" s="8">
        <f t="shared" si="10"/>
        <v>136900</v>
      </c>
      <c r="I29" s="8">
        <f t="shared" si="11"/>
        <v>17797</v>
      </c>
      <c r="J29" s="8">
        <f t="shared" si="12"/>
        <v>119103</v>
      </c>
    </row>
    <row r="30" spans="1:10" x14ac:dyDescent="0.25">
      <c r="A30" s="2">
        <v>3</v>
      </c>
      <c r="B30" s="2" t="s">
        <v>39</v>
      </c>
      <c r="C30" s="2" t="s">
        <v>40</v>
      </c>
      <c r="D30" s="2" t="s">
        <v>41</v>
      </c>
      <c r="E30" s="8">
        <v>45700</v>
      </c>
      <c r="F30" s="8">
        <v>47200</v>
      </c>
      <c r="G30" s="8">
        <v>46900</v>
      </c>
      <c r="H30" s="8">
        <f t="shared" si="10"/>
        <v>139800</v>
      </c>
      <c r="I30" s="8">
        <f t="shared" si="11"/>
        <v>18174</v>
      </c>
      <c r="J30" s="8">
        <f t="shared" si="12"/>
        <v>121626</v>
      </c>
    </row>
    <row r="31" spans="1:10" x14ac:dyDescent="0.25">
      <c r="A31" s="2">
        <v>4</v>
      </c>
      <c r="B31" s="2" t="s">
        <v>57</v>
      </c>
      <c r="C31" s="2" t="s">
        <v>58</v>
      </c>
      <c r="D31" s="2" t="s">
        <v>59</v>
      </c>
      <c r="E31" s="8">
        <v>46700</v>
      </c>
      <c r="F31" s="8">
        <v>47900</v>
      </c>
      <c r="G31" s="8">
        <v>48600</v>
      </c>
      <c r="H31" s="8">
        <f t="shared" si="10"/>
        <v>143200</v>
      </c>
      <c r="I31" s="8">
        <f t="shared" si="11"/>
        <v>18616</v>
      </c>
      <c r="J31" s="8">
        <f t="shared" si="12"/>
        <v>124584</v>
      </c>
    </row>
    <row r="32" spans="1:10" x14ac:dyDescent="0.25">
      <c r="A32" s="2">
        <v>5</v>
      </c>
      <c r="B32" s="2" t="s">
        <v>45</v>
      </c>
      <c r="C32" s="2" t="s">
        <v>46</v>
      </c>
      <c r="D32" s="2" t="s">
        <v>47</v>
      </c>
      <c r="E32" s="8">
        <v>48300</v>
      </c>
      <c r="F32" s="8">
        <v>49800</v>
      </c>
      <c r="G32" s="8">
        <v>50100</v>
      </c>
      <c r="H32" s="8">
        <f t="shared" si="10"/>
        <v>148200</v>
      </c>
      <c r="I32" s="8">
        <f t="shared" si="11"/>
        <v>19266</v>
      </c>
      <c r="J32" s="8">
        <f t="shared" si="12"/>
        <v>128934</v>
      </c>
    </row>
    <row r="33" spans="1:10" x14ac:dyDescent="0.25">
      <c r="A33" s="2">
        <v>6</v>
      </c>
      <c r="B33" s="2" t="s">
        <v>36</v>
      </c>
      <c r="C33" s="2" t="s">
        <v>37</v>
      </c>
      <c r="D33" s="2" t="s">
        <v>38</v>
      </c>
      <c r="E33" s="8">
        <v>52000</v>
      </c>
      <c r="F33" s="8">
        <v>48500</v>
      </c>
      <c r="G33" s="8">
        <v>50300</v>
      </c>
      <c r="H33" s="8">
        <f t="shared" si="10"/>
        <v>150800</v>
      </c>
      <c r="I33" s="8">
        <f t="shared" si="11"/>
        <v>19604</v>
      </c>
      <c r="J33" s="8">
        <f t="shared" si="12"/>
        <v>131196</v>
      </c>
    </row>
    <row r="34" spans="1:10" x14ac:dyDescent="0.25">
      <c r="A34" s="2">
        <v>7</v>
      </c>
      <c r="B34" s="2" t="s">
        <v>60</v>
      </c>
      <c r="C34" s="2" t="s">
        <v>61</v>
      </c>
      <c r="D34" s="2" t="s">
        <v>62</v>
      </c>
      <c r="E34" s="8">
        <v>50900</v>
      </c>
      <c r="F34" s="8">
        <v>51300</v>
      </c>
      <c r="G34" s="8">
        <v>52400</v>
      </c>
      <c r="H34" s="8">
        <f t="shared" si="10"/>
        <v>154600</v>
      </c>
      <c r="I34" s="8">
        <f t="shared" si="11"/>
        <v>20098</v>
      </c>
      <c r="J34" s="8">
        <f t="shared" si="12"/>
        <v>134502</v>
      </c>
    </row>
    <row r="35" spans="1:10" x14ac:dyDescent="0.25">
      <c r="A35" s="2">
        <v>8</v>
      </c>
      <c r="B35" s="2" t="s">
        <v>42</v>
      </c>
      <c r="C35" s="2" t="s">
        <v>43</v>
      </c>
      <c r="D35" s="2" t="s">
        <v>44</v>
      </c>
      <c r="E35" s="8">
        <v>55000</v>
      </c>
      <c r="F35" s="8">
        <v>53600</v>
      </c>
      <c r="G35" s="8">
        <v>54400</v>
      </c>
      <c r="H35" s="8">
        <f t="shared" si="10"/>
        <v>163000</v>
      </c>
      <c r="I35" s="8">
        <f t="shared" si="11"/>
        <v>21190</v>
      </c>
      <c r="J35" s="8">
        <f t="shared" si="12"/>
        <v>141810</v>
      </c>
    </row>
    <row r="36" spans="1:10" x14ac:dyDescent="0.25">
      <c r="A36" s="2">
        <v>9</v>
      </c>
      <c r="B36" s="2" t="s">
        <v>48</v>
      </c>
      <c r="C36" s="2" t="s">
        <v>49</v>
      </c>
      <c r="D36" s="2" t="s">
        <v>50</v>
      </c>
      <c r="E36" s="8">
        <v>57000</v>
      </c>
      <c r="F36" s="8">
        <v>56500</v>
      </c>
      <c r="G36" s="8">
        <v>55800</v>
      </c>
      <c r="H36" s="8">
        <f t="shared" si="10"/>
        <v>169300</v>
      </c>
      <c r="I36" s="8">
        <f t="shared" si="11"/>
        <v>22009</v>
      </c>
      <c r="J36" s="8">
        <f t="shared" si="12"/>
        <v>147291</v>
      </c>
    </row>
    <row r="37" spans="1:10" x14ac:dyDescent="0.25">
      <c r="A37" s="2">
        <v>10</v>
      </c>
      <c r="B37" s="2" t="s">
        <v>54</v>
      </c>
      <c r="C37" s="2" t="s">
        <v>55</v>
      </c>
      <c r="D37" s="2" t="s">
        <v>56</v>
      </c>
      <c r="E37" s="8">
        <v>58500</v>
      </c>
      <c r="F37" s="8">
        <v>57400</v>
      </c>
      <c r="G37" s="8">
        <v>59200</v>
      </c>
      <c r="H37" s="8">
        <f t="shared" si="10"/>
        <v>175100</v>
      </c>
      <c r="I37" s="8">
        <f t="shared" si="11"/>
        <v>22763</v>
      </c>
      <c r="J37" s="8">
        <f t="shared" si="12"/>
        <v>152337</v>
      </c>
    </row>
    <row r="38" spans="1:10" x14ac:dyDescent="0.25">
      <c r="D38" s="9" t="s">
        <v>66</v>
      </c>
      <c r="E38" s="10">
        <f>SUM(E28:E37)</f>
        <v>502500</v>
      </c>
      <c r="F38" s="10">
        <f>SUM(F28:F37)</f>
        <v>503200</v>
      </c>
      <c r="G38" s="10">
        <f>SUM(G28:G37)</f>
        <v>509600</v>
      </c>
      <c r="H38" s="10">
        <f>SUM(H28:H37)</f>
        <v>1515300</v>
      </c>
      <c r="I38" s="10">
        <f t="shared" ref="I38" si="13">H38*13%</f>
        <v>196989</v>
      </c>
      <c r="J38" s="10">
        <f t="shared" ref="J38" si="14">H38-I38</f>
        <v>1318311</v>
      </c>
    </row>
  </sheetData>
  <sortState xmlns:xlrd2="http://schemas.microsoft.com/office/spreadsheetml/2017/richdata2" ref="B28:J37">
    <sortCondition ref="J28:J37"/>
  </sortState>
  <conditionalFormatting sqref="J28:J37">
    <cfRule type="colorScale" priority="2">
      <colorScale>
        <cfvo type="min"/>
        <cfvo type="max"/>
        <color rgb="FFFCFCFF"/>
        <color rgb="FF63BE7B"/>
      </colorScale>
    </cfRule>
  </conditionalFormatting>
  <conditionalFormatting sqref="E15:E2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Табель</vt:lpstr>
      <vt:lpstr>Сортировка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</dc:creator>
  <cp:lastModifiedBy>Савкин Никита</cp:lastModifiedBy>
  <dcterms:created xsi:type="dcterms:W3CDTF">2015-06-05T18:17:20Z</dcterms:created>
  <dcterms:modified xsi:type="dcterms:W3CDTF">2025-11-02T15:32:21Z</dcterms:modified>
</cp:coreProperties>
</file>