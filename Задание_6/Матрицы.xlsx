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DI\projects\excel\volsu-emm\Задание_6\"/>
    </mc:Choice>
  </mc:AlternateContent>
  <xr:revisionPtr revIDLastSave="0" documentId="13_ncr:1_{84DFB0BC-EBE5-4C34-A868-5E239E7D1A0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Обратная матрица" sheetId="1" r:id="rId1"/>
    <sheet name="Системы линейных уравнений" sheetId="2" r:id="rId2"/>
    <sheet name="Уравнени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2" l="1"/>
  <c r="C8" i="1"/>
  <c r="I8" i="3"/>
  <c r="I7" i="3"/>
  <c r="I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6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A12" i="2" a="1"/>
  <c r="A12" i="2" s="1"/>
  <c r="A11" i="1" a="1"/>
  <c r="A11" i="1" s="1"/>
  <c r="A14" i="2" l="1"/>
  <c r="C14" i="2"/>
  <c r="B14" i="2"/>
  <c r="A13" i="2"/>
  <c r="D12" i="2"/>
  <c r="B15" i="2"/>
  <c r="B12" i="2"/>
  <c r="I12" i="2" s="1" a="1"/>
  <c r="D14" i="2"/>
  <c r="D13" i="2"/>
  <c r="C13" i="2"/>
  <c r="B13" i="2"/>
  <c r="D15" i="2"/>
  <c r="C15" i="2"/>
  <c r="C12" i="2"/>
  <c r="A15" i="2"/>
  <c r="C12" i="1"/>
  <c r="C13" i="1"/>
  <c r="B13" i="1"/>
  <c r="A13" i="1"/>
  <c r="B12" i="1"/>
  <c r="A12" i="1"/>
  <c r="C11" i="1"/>
  <c r="B11" i="1"/>
  <c r="E11" i="1" l="1" a="1"/>
  <c r="E11" i="1" s="1"/>
  <c r="I12" i="2"/>
  <c r="I15" i="2"/>
  <c r="I13" i="2"/>
  <c r="I14" i="2"/>
  <c r="E13" i="1" l="1"/>
  <c r="E12" i="1"/>
  <c r="G11" i="1"/>
  <c r="F13" i="1"/>
  <c r="G13" i="1"/>
  <c r="F11" i="1"/>
  <c r="F12" i="1"/>
  <c r="G12" i="1"/>
  <c r="K12" i="2" a="1"/>
  <c r="K12" i="2" l="1"/>
  <c r="K15" i="2"/>
  <c r="K14" i="2"/>
  <c r="K13" i="2"/>
</calcChain>
</file>

<file path=xl/sharedStrings.xml><?xml version="1.0" encoding="utf-8"?>
<sst xmlns="http://schemas.openxmlformats.org/spreadsheetml/2006/main" count="28" uniqueCount="25">
  <si>
    <t>Нахождение обратной матрицы</t>
  </si>
  <si>
    <t>Матрица А</t>
  </si>
  <si>
    <t>Определитель</t>
  </si>
  <si>
    <r>
      <t>Обратная матрица А</t>
    </r>
    <r>
      <rPr>
        <b/>
        <i/>
        <vertAlign val="superscript"/>
        <sz val="12"/>
        <color theme="1"/>
        <rFont val="Calibri"/>
        <family val="2"/>
        <charset val="204"/>
        <scheme val="minor"/>
      </rPr>
      <t>-1</t>
    </r>
  </si>
  <si>
    <r>
      <t>Проверка А * А</t>
    </r>
    <r>
      <rPr>
        <b/>
        <i/>
        <vertAlign val="superscript"/>
        <sz val="12"/>
        <color theme="1"/>
        <rFont val="Calibri"/>
        <family val="2"/>
        <charset val="204"/>
        <scheme val="minor"/>
      </rPr>
      <t>-1</t>
    </r>
    <r>
      <rPr>
        <b/>
        <i/>
        <sz val="12"/>
        <color theme="1"/>
        <rFont val="Calibri"/>
        <family val="2"/>
        <charset val="204"/>
        <scheme val="minor"/>
      </rPr>
      <t xml:space="preserve"> = Е</t>
    </r>
  </si>
  <si>
    <t xml:space="preserve"> </t>
  </si>
  <si>
    <t>Обратная матрица существует, определитель не равен нулю.</t>
  </si>
  <si>
    <t>Решение системы линейных уравнений</t>
  </si>
  <si>
    <t>B</t>
  </si>
  <si>
    <t>Матрица A</t>
  </si>
  <si>
    <t>столбец свободных членов</t>
  </si>
  <si>
    <t>Проверка: A * X = B</t>
  </si>
  <si>
    <r>
      <t>Обратная матрица A</t>
    </r>
    <r>
      <rPr>
        <b/>
        <i/>
        <vertAlign val="superscript"/>
        <sz val="12"/>
        <color theme="1"/>
        <rFont val="Calibri"/>
        <family val="2"/>
        <charset val="204"/>
        <scheme val="minor"/>
      </rPr>
      <t>-1</t>
    </r>
  </si>
  <si>
    <r>
      <t>Решение системы X = A</t>
    </r>
    <r>
      <rPr>
        <b/>
        <i/>
        <vertAlign val="superscript"/>
        <sz val="12"/>
        <color theme="1"/>
        <rFont val="Calibri"/>
        <family val="2"/>
        <charset val="204"/>
        <scheme val="minor"/>
      </rPr>
      <t>-1</t>
    </r>
    <r>
      <rPr>
        <b/>
        <i/>
        <sz val="12"/>
        <color theme="1"/>
        <rFont val="Calibri"/>
        <family val="2"/>
        <charset val="204"/>
        <scheme val="minor"/>
      </rPr>
      <t xml:space="preserve"> * B</t>
    </r>
  </si>
  <si>
    <t>Решение уравнения</t>
  </si>
  <si>
    <t>Табулирование</t>
  </si>
  <si>
    <t>приближенное</t>
  </si>
  <si>
    <t>более точное</t>
  </si>
  <si>
    <t>x</t>
  </si>
  <si>
    <t>y</t>
  </si>
  <si>
    <t>Нахождение корней (через Подбор параметра)</t>
  </si>
  <si>
    <t>1 корень</t>
  </si>
  <si>
    <t>2 корень</t>
  </si>
  <si>
    <t>3 корень</t>
  </si>
  <si>
    <t>Определитель не равен нулю, следовательно система линейных уравнений имеет единственное решение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</si>
</sst>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&quot; &quot;???/???"/>
    <numFmt numFmtId="166" formatCode="0.0"/>
    <numFmt numFmtId="169" formatCode="0.00000"/>
  </numFmts>
  <fonts count="4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  <font>
      <b/>
      <i/>
      <vertAlign val="superscript"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9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323851</xdr:colOff>
      <xdr:row>1</xdr:row>
      <xdr:rowOff>57150</xdr:rowOff>
    </xdr:from>
    <xdr:to>
      <xdr:col>6</xdr:col>
      <xdr:colOff>76201</xdr:colOff>
      <xdr:row>6</xdr:row>
      <xdr:rowOff>78663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657BF51-23F5-C79C-8299-58A68C093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1" y="257175"/>
          <a:ext cx="1600200" cy="9835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</xdr:row>
      <xdr:rowOff>57150</xdr:rowOff>
    </xdr:from>
    <xdr:to>
      <xdr:col>16</xdr:col>
      <xdr:colOff>389001</xdr:colOff>
      <xdr:row>7</xdr:row>
      <xdr:rowOff>104775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88E3A9A-D929-BC90-E00F-70B06A4C0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257175"/>
          <a:ext cx="3579876" cy="1200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333375</xdr:colOff>
      <xdr:row>0</xdr:row>
      <xdr:rowOff>14287</xdr:rowOff>
    </xdr:from>
    <xdr:ext cx="2197205" cy="17774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95B4CD0-284B-4FFE-A611-7A3353CB8D04}"/>
                </a:ext>
              </a:extLst>
            </xdr:cNvPr>
            <xdr:cNvSpPr txBox="1"/>
          </xdr:nvSpPr>
          <xdr:spPr>
            <a:xfrm>
              <a:off x="2305050" y="14287"/>
              <a:ext cx="2197205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+5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+8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−7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−3=0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95B4CD0-284B-4FFE-A611-7A3353CB8D04}"/>
                </a:ext>
              </a:extLst>
            </xdr:cNvPr>
            <xdr:cNvSpPr txBox="1"/>
          </xdr:nvSpPr>
          <xdr:spPr>
            <a:xfrm>
              <a:off x="2305050" y="14287"/>
              <a:ext cx="2197205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𝑥^5+2𝑥^4+5𝑥^3+8𝑥^2−7𝑥−3=0</a:t>
              </a:r>
              <a:endParaRPr lang="en-US" sz="11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E11" sqref="E11"/>
    </sheetView>
  </sheetViews>
  <sheetFormatPr defaultRowHeight="15" x14ac:dyDescent="0.25"/>
  <cols>
    <col min="1" max="3" width="10.28515625" bestFit="1" customWidth="1"/>
    <col min="5" max="6" width="9.28515625" bestFit="1" customWidth="1"/>
    <col min="7" max="7" width="12.7109375" bestFit="1" customWidth="1"/>
  </cols>
  <sheetData>
    <row r="1" spans="1:9" ht="15.75" x14ac:dyDescent="0.25">
      <c r="A1" s="14" t="s">
        <v>0</v>
      </c>
      <c r="B1" s="14"/>
      <c r="C1" s="14"/>
      <c r="D1" s="14"/>
    </row>
    <row r="3" spans="1:9" ht="15.75" x14ac:dyDescent="0.25">
      <c r="A3" s="15" t="s">
        <v>1</v>
      </c>
      <c r="B3" s="15"/>
      <c r="C3" s="15"/>
      <c r="D3" s="3"/>
    </row>
    <row r="4" spans="1:9" x14ac:dyDescent="0.25">
      <c r="A4" s="4">
        <v>-9</v>
      </c>
      <c r="B4" s="4">
        <v>5</v>
      </c>
      <c r="C4" s="4">
        <v>6</v>
      </c>
    </row>
    <row r="5" spans="1:9" x14ac:dyDescent="0.25">
      <c r="A5" s="4">
        <v>4</v>
      </c>
      <c r="B5" s="4">
        <v>-7</v>
      </c>
      <c r="C5" s="4">
        <v>-3</v>
      </c>
    </row>
    <row r="6" spans="1:9" x14ac:dyDescent="0.25">
      <c r="A6" s="4">
        <v>5</v>
      </c>
      <c r="B6" s="4">
        <v>1</v>
      </c>
      <c r="C6" s="4">
        <v>-2</v>
      </c>
      <c r="I6" t="s">
        <v>5</v>
      </c>
    </row>
    <row r="8" spans="1:9" ht="15.75" x14ac:dyDescent="0.25">
      <c r="A8" s="14" t="s">
        <v>2</v>
      </c>
      <c r="B8" s="16"/>
      <c r="C8" s="1">
        <f>MDETERM(A4:C6)</f>
        <v>46.000000000000007</v>
      </c>
      <c r="D8" t="s">
        <v>6</v>
      </c>
    </row>
    <row r="10" spans="1:9" ht="18" x14ac:dyDescent="0.25">
      <c r="A10" s="15" t="s">
        <v>3</v>
      </c>
      <c r="B10" s="15"/>
      <c r="C10" s="15"/>
      <c r="E10" s="15" t="s">
        <v>4</v>
      </c>
      <c r="F10" s="15"/>
      <c r="G10" s="15"/>
    </row>
    <row r="11" spans="1:9" x14ac:dyDescent="0.25">
      <c r="A11" s="6">
        <f t="array" ref="A11:C13">MINVERSE(A4:C6)</f>
        <v>0.36956521739130438</v>
      </c>
      <c r="B11" s="6">
        <v>0.34782608695652167</v>
      </c>
      <c r="C11" s="6">
        <v>0.58695652173913038</v>
      </c>
      <c r="E11" s="4">
        <f t="array" ref="E11:G13">MMULT(A4:C6,A11:C13)</f>
        <v>1</v>
      </c>
      <c r="F11" s="4">
        <v>0</v>
      </c>
      <c r="G11" s="4">
        <v>-8.8817841970012523E-16</v>
      </c>
    </row>
    <row r="12" spans="1:9" x14ac:dyDescent="0.25">
      <c r="A12" s="6">
        <v>-0.1521739130434783</v>
      </c>
      <c r="B12" s="6">
        <v>-0.2608695652173913</v>
      </c>
      <c r="C12" s="6">
        <v>-6.5217391304347852E-2</v>
      </c>
      <c r="E12" s="4">
        <v>0</v>
      </c>
      <c r="F12" s="4">
        <v>1</v>
      </c>
      <c r="G12" s="4">
        <v>4.4408920985006262E-16</v>
      </c>
    </row>
    <row r="13" spans="1:9" x14ac:dyDescent="0.25">
      <c r="A13" s="6">
        <v>0.84782608695652173</v>
      </c>
      <c r="B13" s="6">
        <v>0.73913043478260854</v>
      </c>
      <c r="C13" s="6">
        <v>0.93478260869565211</v>
      </c>
      <c r="E13" s="4">
        <v>2.2204460492503131E-16</v>
      </c>
      <c r="F13" s="4">
        <v>0</v>
      </c>
      <c r="G13" s="4">
        <v>1</v>
      </c>
    </row>
  </sheetData>
  <mergeCells count="5">
    <mergeCell ref="A1:D1"/>
    <mergeCell ref="A3:C3"/>
    <mergeCell ref="A8:B8"/>
    <mergeCell ref="A10:C10"/>
    <mergeCell ref="E10:G1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B9F1-C3A5-4286-99F5-B57E3F12BE43}">
  <dimension ref="A1:M15"/>
  <sheetViews>
    <sheetView workbookViewId="0">
      <selection activeCell="K12" sqref="K12"/>
    </sheetView>
  </sheetViews>
  <sheetFormatPr defaultRowHeight="15" x14ac:dyDescent="0.25"/>
  <cols>
    <col min="1" max="4" width="10.28515625" bestFit="1" customWidth="1"/>
    <col min="5" max="5" width="6.85546875" customWidth="1"/>
    <col min="6" max="6" width="4.28515625" customWidth="1"/>
    <col min="7" max="7" width="4.42578125" customWidth="1"/>
    <col min="8" max="8" width="4.28515625" customWidth="1"/>
    <col min="9" max="9" width="18.140625" customWidth="1"/>
    <col min="10" max="10" width="4.140625" customWidth="1"/>
    <col min="11" max="12" width="6" customWidth="1"/>
  </cols>
  <sheetData>
    <row r="1" spans="1:13" ht="15.75" x14ac:dyDescent="0.25">
      <c r="A1" s="14" t="s">
        <v>7</v>
      </c>
      <c r="B1" s="14"/>
      <c r="C1" s="14"/>
      <c r="D1" s="14"/>
      <c r="E1" s="14"/>
      <c r="F1" s="14"/>
      <c r="G1" s="14"/>
      <c r="H1" s="14"/>
    </row>
    <row r="3" spans="1:13" ht="15.75" x14ac:dyDescent="0.25">
      <c r="A3" s="15" t="s">
        <v>9</v>
      </c>
      <c r="B3" s="15"/>
      <c r="C3" s="15"/>
      <c r="D3" s="15"/>
      <c r="F3" s="2" t="s">
        <v>8</v>
      </c>
      <c r="G3" s="14" t="s">
        <v>10</v>
      </c>
      <c r="H3" s="14"/>
      <c r="I3" s="14"/>
      <c r="J3" s="14"/>
    </row>
    <row r="4" spans="1:13" x14ac:dyDescent="0.25">
      <c r="A4" s="4">
        <v>-9</v>
      </c>
      <c r="B4" s="4">
        <v>5</v>
      </c>
      <c r="C4" s="4">
        <v>6</v>
      </c>
      <c r="D4" s="4">
        <v>5</v>
      </c>
      <c r="F4" s="4">
        <v>0</v>
      </c>
    </row>
    <row r="5" spans="1:13" x14ac:dyDescent="0.25">
      <c r="A5" s="4">
        <v>4</v>
      </c>
      <c r="B5" s="4">
        <v>-7</v>
      </c>
      <c r="C5" s="4">
        <v>-3</v>
      </c>
      <c r="D5" s="4">
        <v>-6</v>
      </c>
      <c r="F5" s="4">
        <v>-9</v>
      </c>
    </row>
    <row r="6" spans="1:13" x14ac:dyDescent="0.25">
      <c r="A6" s="4">
        <v>5</v>
      </c>
      <c r="B6" s="4">
        <v>1</v>
      </c>
      <c r="C6" s="4">
        <v>-2</v>
      </c>
      <c r="D6" s="4">
        <v>1</v>
      </c>
      <c r="F6" s="4">
        <v>4</v>
      </c>
    </row>
    <row r="7" spans="1:13" x14ac:dyDescent="0.25">
      <c r="A7" s="4">
        <v>8</v>
      </c>
      <c r="B7" s="4">
        <v>-2</v>
      </c>
      <c r="C7" s="4">
        <v>4</v>
      </c>
      <c r="D7" s="4">
        <v>7</v>
      </c>
      <c r="F7" s="4">
        <v>3</v>
      </c>
    </row>
    <row r="9" spans="1:13" ht="15.75" x14ac:dyDescent="0.25">
      <c r="A9" s="14" t="s">
        <v>2</v>
      </c>
      <c r="B9" s="14"/>
      <c r="C9" s="14"/>
      <c r="D9" s="4">
        <f>MDETERM(A4:D7)</f>
        <v>126.00000000000014</v>
      </c>
      <c r="E9" t="s">
        <v>24</v>
      </c>
    </row>
    <row r="11" spans="1:13" ht="18" x14ac:dyDescent="0.25">
      <c r="A11" s="15" t="s">
        <v>12</v>
      </c>
      <c r="B11" s="15"/>
      <c r="C11" s="15"/>
      <c r="D11" s="15"/>
      <c r="F11" s="14" t="s">
        <v>13</v>
      </c>
      <c r="G11" s="14"/>
      <c r="H11" s="14"/>
      <c r="I11" s="14"/>
      <c r="K11" s="14" t="s">
        <v>11</v>
      </c>
      <c r="L11" s="14"/>
      <c r="M11" s="14"/>
    </row>
    <row r="12" spans="1:13" x14ac:dyDescent="0.25">
      <c r="A12" s="7">
        <f t="array" ref="A12:D15">MINVERSE(A4:D7)</f>
        <v>1.2142857142857126</v>
      </c>
      <c r="B12" s="7">
        <v>1.1428571428571417</v>
      </c>
      <c r="C12" s="7">
        <v>1.6746031746031729</v>
      </c>
      <c r="D12" s="7">
        <v>-0.12698412698412687</v>
      </c>
      <c r="I12" s="5">
        <f t="array" ref="I12:I15">MMULT(A12:D15,F4:F7)</f>
        <v>-3.9682539682539648</v>
      </c>
      <c r="K12" s="4">
        <f t="array" ref="K12:K15">MMULT(A4:D7,I12:I15)</f>
        <v>-7.1054273576010019E-15</v>
      </c>
    </row>
    <row r="13" spans="1:13" x14ac:dyDescent="0.25">
      <c r="A13" s="7">
        <v>1.6428571428571406</v>
      </c>
      <c r="B13" s="7">
        <v>1.4285714285714264</v>
      </c>
      <c r="C13" s="7">
        <v>2.2460317460317425</v>
      </c>
      <c r="D13" s="7">
        <v>-0.2698412698412696</v>
      </c>
      <c r="I13" s="5">
        <v>-4.6825396825396766</v>
      </c>
      <c r="K13" s="4">
        <v>-9</v>
      </c>
    </row>
    <row r="14" spans="1:13" x14ac:dyDescent="0.25">
      <c r="A14" s="7">
        <v>2.6428571428571401</v>
      </c>
      <c r="B14" s="7">
        <v>2.4285714285714266</v>
      </c>
      <c r="C14" s="7">
        <v>3.2460317460317429</v>
      </c>
      <c r="D14" s="7">
        <v>-0.26984126984126955</v>
      </c>
      <c r="I14" s="5">
        <v>-9.6825396825396766</v>
      </c>
      <c r="K14" s="4">
        <v>4.0000000000000036</v>
      </c>
    </row>
    <row r="15" spans="1:13" x14ac:dyDescent="0.25">
      <c r="A15" s="7">
        <v>-2.4285714285714257</v>
      </c>
      <c r="B15" s="7">
        <v>-2.2857142857142829</v>
      </c>
      <c r="C15" s="7">
        <v>-3.126984126984123</v>
      </c>
      <c r="D15" s="7">
        <v>0.36507936507936473</v>
      </c>
      <c r="I15" s="5">
        <v>9.1587301587301511</v>
      </c>
      <c r="K15" s="4">
        <v>2.9999999999999858</v>
      </c>
    </row>
  </sheetData>
  <mergeCells count="7">
    <mergeCell ref="K11:M11"/>
    <mergeCell ref="A1:H1"/>
    <mergeCell ref="A3:D3"/>
    <mergeCell ref="A9:C9"/>
    <mergeCell ref="A11:D11"/>
    <mergeCell ref="F11:I11"/>
    <mergeCell ref="G3:J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3D0E-DCD0-4342-B492-6235265D450B}">
  <dimension ref="A1:I41"/>
  <sheetViews>
    <sheetView tabSelected="1" workbookViewId="0">
      <selection activeCell="O18" sqref="O18"/>
    </sheetView>
  </sheetViews>
  <sheetFormatPr defaultRowHeight="15" x14ac:dyDescent="0.25"/>
  <cols>
    <col min="2" max="2" width="11.28515625" bestFit="1" customWidth="1"/>
  </cols>
  <sheetData>
    <row r="1" spans="1:9" ht="15.75" x14ac:dyDescent="0.25">
      <c r="A1" s="14" t="s">
        <v>14</v>
      </c>
      <c r="B1" s="14"/>
      <c r="C1" s="14"/>
      <c r="D1" s="14"/>
      <c r="E1" s="8"/>
      <c r="F1" s="3"/>
      <c r="G1" s="3"/>
      <c r="H1" s="3"/>
    </row>
    <row r="3" spans="1:9" ht="15.75" x14ac:dyDescent="0.25">
      <c r="A3" s="14" t="s">
        <v>15</v>
      </c>
      <c r="B3" s="14"/>
      <c r="C3" s="14"/>
      <c r="D3" s="14"/>
      <c r="E3" s="14"/>
    </row>
    <row r="4" spans="1:9" ht="15.75" x14ac:dyDescent="0.25">
      <c r="A4" s="14" t="s">
        <v>16</v>
      </c>
      <c r="B4" s="14"/>
      <c r="D4" s="14" t="s">
        <v>17</v>
      </c>
      <c r="E4" s="14"/>
      <c r="G4" s="3" t="s">
        <v>20</v>
      </c>
    </row>
    <row r="5" spans="1:9" ht="15.75" x14ac:dyDescent="0.25">
      <c r="A5" s="9" t="s">
        <v>18</v>
      </c>
      <c r="B5" s="9" t="s">
        <v>19</v>
      </c>
      <c r="D5" s="9" t="s">
        <v>18</v>
      </c>
      <c r="E5" s="9" t="s">
        <v>19</v>
      </c>
    </row>
    <row r="6" spans="1:9" ht="15.75" x14ac:dyDescent="0.25">
      <c r="A6" s="10">
        <v>-5</v>
      </c>
      <c r="B6" s="10">
        <f>A6^5+2*A6^4+5*A6^3+8*A6^2-7*A6-3</f>
        <v>-2268</v>
      </c>
      <c r="D6" s="4">
        <v>-2.5</v>
      </c>
      <c r="E6" s="10">
        <f>D6^5+2*D6^4+5*D6^3+8*D6^2-7*D6-3</f>
        <v>-33.15625</v>
      </c>
      <c r="G6" s="17" t="s">
        <v>21</v>
      </c>
      <c r="H6" s="17"/>
      <c r="I6" s="18">
        <f>D10</f>
        <v>-2.0729955837321907</v>
      </c>
    </row>
    <row r="7" spans="1:9" ht="15.75" x14ac:dyDescent="0.25">
      <c r="A7" s="10">
        <v>-4.5</v>
      </c>
      <c r="B7" s="10">
        <f t="shared" ref="B7:B26" si="0">A7^5+2*A7^4+5*A7^3+8*A7^2-7*A7-3</f>
        <v>-1290.28125</v>
      </c>
      <c r="D7" s="4">
        <v>-2.4</v>
      </c>
      <c r="E7" s="10">
        <f t="shared" ref="E7:E41" si="1">D7^5+2*D7^4+5*D7^3+8*D7^2-7*D7-3</f>
        <v>-22.511040000000005</v>
      </c>
      <c r="G7" s="17" t="s">
        <v>22</v>
      </c>
      <c r="H7" s="17"/>
      <c r="I7" s="18">
        <f>D27</f>
        <v>-0.32804432108669657</v>
      </c>
    </row>
    <row r="8" spans="1:9" ht="15.75" x14ac:dyDescent="0.25">
      <c r="A8" s="10">
        <v>-4</v>
      </c>
      <c r="B8" s="10">
        <f t="shared" si="0"/>
        <v>-679</v>
      </c>
      <c r="D8" s="4">
        <v>-2.2999999999999998</v>
      </c>
      <c r="E8" s="10">
        <f t="shared" si="1"/>
        <v>-13.810229999999986</v>
      </c>
      <c r="G8" s="17" t="s">
        <v>23</v>
      </c>
      <c r="H8" s="17"/>
      <c r="I8" s="18">
        <f>D38</f>
        <v>0.78926235984161786</v>
      </c>
    </row>
    <row r="9" spans="1:9" x14ac:dyDescent="0.25">
      <c r="A9" s="10">
        <v>-3.5</v>
      </c>
      <c r="B9" s="10">
        <f t="shared" si="0"/>
        <v>-319.96875</v>
      </c>
      <c r="D9" s="4">
        <v>-2.2000000000000002</v>
      </c>
      <c r="E9" s="10">
        <f t="shared" si="1"/>
        <v>-6.8051200000000129</v>
      </c>
    </row>
    <row r="10" spans="1:9" x14ac:dyDescent="0.25">
      <c r="A10" s="10">
        <v>-3</v>
      </c>
      <c r="B10" s="10">
        <f t="shared" si="0"/>
        <v>-126</v>
      </c>
      <c r="D10" s="11">
        <v>-2.0729955837321907</v>
      </c>
      <c r="E10" s="12">
        <f t="shared" si="1"/>
        <v>-7.6430330850030259E-5</v>
      </c>
    </row>
    <row r="11" spans="1:9" x14ac:dyDescent="0.25">
      <c r="A11" s="10">
        <v>-2.5</v>
      </c>
      <c r="B11" s="10">
        <f t="shared" si="0"/>
        <v>-33.15625</v>
      </c>
      <c r="D11" s="4">
        <v>-2</v>
      </c>
      <c r="E11" s="13">
        <f t="shared" si="1"/>
        <v>3</v>
      </c>
    </row>
    <row r="12" spans="1:9" x14ac:dyDescent="0.25">
      <c r="A12" s="10">
        <v>-2</v>
      </c>
      <c r="B12" s="10">
        <f t="shared" si="0"/>
        <v>3</v>
      </c>
      <c r="D12" s="4">
        <v>-1.9</v>
      </c>
      <c r="E12" s="10">
        <f t="shared" si="1"/>
        <v>6.1882100000000033</v>
      </c>
    </row>
    <row r="13" spans="1:9" x14ac:dyDescent="0.25">
      <c r="A13" s="10">
        <v>-1.5</v>
      </c>
      <c r="B13" s="10">
        <f t="shared" si="0"/>
        <v>11.15625</v>
      </c>
      <c r="D13" s="4">
        <v>-1.8</v>
      </c>
      <c r="E13" s="10">
        <f t="shared" si="1"/>
        <v>8.4595199999999959</v>
      </c>
    </row>
    <row r="14" spans="1:9" x14ac:dyDescent="0.25">
      <c r="A14" s="10">
        <v>-1</v>
      </c>
      <c r="B14" s="10">
        <f t="shared" si="0"/>
        <v>8</v>
      </c>
      <c r="D14" s="4">
        <v>-1.7</v>
      </c>
      <c r="E14" s="10">
        <f t="shared" si="1"/>
        <v>9.9606300000000001</v>
      </c>
    </row>
    <row r="15" spans="1:9" x14ac:dyDescent="0.25">
      <c r="A15" s="10">
        <v>-0.5</v>
      </c>
      <c r="B15" s="10">
        <f t="shared" si="0"/>
        <v>1.96875</v>
      </c>
      <c r="D15" s="4">
        <v>-1.6</v>
      </c>
      <c r="E15" s="10">
        <f t="shared" si="1"/>
        <v>10.821440000000001</v>
      </c>
    </row>
    <row r="16" spans="1:9" x14ac:dyDescent="0.25">
      <c r="A16" s="10">
        <v>0</v>
      </c>
      <c r="B16" s="10">
        <f t="shared" si="0"/>
        <v>-3</v>
      </c>
      <c r="D16" s="4">
        <v>-1.5</v>
      </c>
      <c r="E16" s="10">
        <f t="shared" si="1"/>
        <v>11.15625</v>
      </c>
    </row>
    <row r="17" spans="1:5" x14ac:dyDescent="0.25">
      <c r="A17" s="10">
        <v>0.5</v>
      </c>
      <c r="B17" s="10">
        <f t="shared" si="0"/>
        <v>-3.71875</v>
      </c>
      <c r="D17" s="4">
        <v>-1.4</v>
      </c>
      <c r="E17" s="10">
        <f t="shared" si="1"/>
        <v>11.064959999999999</v>
      </c>
    </row>
    <row r="18" spans="1:5" x14ac:dyDescent="0.25">
      <c r="A18" s="10">
        <v>1</v>
      </c>
      <c r="B18" s="10">
        <f t="shared" si="0"/>
        <v>6</v>
      </c>
      <c r="D18" s="4">
        <v>-1.3</v>
      </c>
      <c r="E18" s="10">
        <f t="shared" si="1"/>
        <v>10.634269999999997</v>
      </c>
    </row>
    <row r="19" spans="1:5" x14ac:dyDescent="0.25">
      <c r="A19" s="10">
        <v>1.5</v>
      </c>
      <c r="B19" s="10">
        <f t="shared" si="0"/>
        <v>39.09375</v>
      </c>
      <c r="D19" s="4">
        <v>-1.2</v>
      </c>
      <c r="E19" s="10">
        <f t="shared" si="1"/>
        <v>9.9388799999999993</v>
      </c>
    </row>
    <row r="20" spans="1:5" x14ac:dyDescent="0.25">
      <c r="A20" s="10">
        <v>2</v>
      </c>
      <c r="B20" s="10">
        <f t="shared" si="0"/>
        <v>119</v>
      </c>
      <c r="D20" s="4">
        <v>-1.1000000000000001</v>
      </c>
      <c r="E20" s="10">
        <f t="shared" si="1"/>
        <v>9.0426900000000003</v>
      </c>
    </row>
    <row r="21" spans="1:5" x14ac:dyDescent="0.25">
      <c r="A21" s="10">
        <v>2.5</v>
      </c>
      <c r="B21" s="10">
        <f t="shared" si="0"/>
        <v>283.40625</v>
      </c>
      <c r="D21" s="4">
        <v>-1</v>
      </c>
      <c r="E21" s="10">
        <f t="shared" si="1"/>
        <v>8</v>
      </c>
    </row>
    <row r="22" spans="1:5" x14ac:dyDescent="0.25">
      <c r="A22" s="10">
        <v>3</v>
      </c>
      <c r="B22" s="10">
        <f t="shared" si="0"/>
        <v>588</v>
      </c>
      <c r="D22" s="4">
        <v>-0.9</v>
      </c>
      <c r="E22" s="10">
        <f t="shared" si="1"/>
        <v>6.8567099999999996</v>
      </c>
    </row>
    <row r="23" spans="1:5" x14ac:dyDescent="0.25">
      <c r="A23" s="10">
        <v>3.5</v>
      </c>
      <c r="B23" s="10">
        <f t="shared" si="0"/>
        <v>1110.21875</v>
      </c>
      <c r="D23" s="4">
        <v>-0.8</v>
      </c>
      <c r="E23" s="10">
        <f t="shared" si="1"/>
        <v>5.6515200000000014</v>
      </c>
    </row>
    <row r="24" spans="1:5" x14ac:dyDescent="0.25">
      <c r="A24" s="10">
        <v>4</v>
      </c>
      <c r="B24" s="10">
        <f t="shared" si="0"/>
        <v>1953</v>
      </c>
      <c r="D24" s="4">
        <v>-0.7</v>
      </c>
      <c r="E24" s="10">
        <f t="shared" si="1"/>
        <v>4.4171299999999993</v>
      </c>
    </row>
    <row r="25" spans="1:5" x14ac:dyDescent="0.25">
      <c r="A25" s="10">
        <v>4.5</v>
      </c>
      <c r="B25" s="10">
        <f t="shared" si="0"/>
        <v>3248.53125</v>
      </c>
      <c r="D25" s="4">
        <v>-0.6</v>
      </c>
      <c r="E25" s="10">
        <f t="shared" si="1"/>
        <v>3.1814400000000003</v>
      </c>
    </row>
    <row r="26" spans="1:5" x14ac:dyDescent="0.25">
      <c r="A26" s="10">
        <v>5</v>
      </c>
      <c r="B26" s="10">
        <f t="shared" si="0"/>
        <v>5162</v>
      </c>
      <c r="D26" s="4">
        <v>-0.5</v>
      </c>
      <c r="E26" s="10">
        <f t="shared" si="1"/>
        <v>1.96875</v>
      </c>
    </row>
    <row r="27" spans="1:5" x14ac:dyDescent="0.25">
      <c r="D27" s="11">
        <v>-0.32804432108669657</v>
      </c>
      <c r="E27" s="12">
        <f t="shared" si="1"/>
        <v>6.7774013040811099E-5</v>
      </c>
    </row>
    <row r="28" spans="1:5" x14ac:dyDescent="0.25">
      <c r="D28" s="4">
        <v>-0.3</v>
      </c>
      <c r="E28" s="13">
        <f t="shared" si="1"/>
        <v>-0.30122999999999989</v>
      </c>
    </row>
    <row r="29" spans="1:5" x14ac:dyDescent="0.25">
      <c r="D29" s="4">
        <v>-0.2</v>
      </c>
      <c r="E29" s="10">
        <f t="shared" si="1"/>
        <v>-1.3171199999999998</v>
      </c>
    </row>
    <row r="30" spans="1:5" x14ac:dyDescent="0.25">
      <c r="D30" s="4">
        <v>-0.1</v>
      </c>
      <c r="E30" s="10">
        <f t="shared" si="1"/>
        <v>-2.2248099999999997</v>
      </c>
    </row>
    <row r="31" spans="1:5" x14ac:dyDescent="0.25">
      <c r="D31" s="4">
        <v>0</v>
      </c>
      <c r="E31" s="10">
        <f t="shared" si="1"/>
        <v>-3</v>
      </c>
    </row>
    <row r="32" spans="1:5" x14ac:dyDescent="0.25">
      <c r="D32" s="4">
        <v>0.1</v>
      </c>
      <c r="E32" s="10">
        <f t="shared" si="1"/>
        <v>-3.6147900000000002</v>
      </c>
    </row>
    <row r="33" spans="4:5" x14ac:dyDescent="0.25">
      <c r="D33" s="4">
        <v>0.2</v>
      </c>
      <c r="E33" s="10">
        <f t="shared" si="1"/>
        <v>-4.0364800000000001</v>
      </c>
    </row>
    <row r="34" spans="4:5" x14ac:dyDescent="0.25">
      <c r="D34" s="4">
        <v>0.3</v>
      </c>
      <c r="E34" s="10">
        <f t="shared" si="1"/>
        <v>-4.2263700000000002</v>
      </c>
    </row>
    <row r="35" spans="4:5" x14ac:dyDescent="0.25">
      <c r="D35" s="4">
        <v>0.4</v>
      </c>
      <c r="E35" s="10">
        <f t="shared" si="1"/>
        <v>-4.13856</v>
      </c>
    </row>
    <row r="36" spans="4:5" x14ac:dyDescent="0.25">
      <c r="D36" s="4">
        <v>0.5</v>
      </c>
      <c r="E36" s="10">
        <f t="shared" si="1"/>
        <v>-3.71875</v>
      </c>
    </row>
    <row r="37" spans="4:5" x14ac:dyDescent="0.25">
      <c r="D37" s="4">
        <v>0.6</v>
      </c>
      <c r="E37" s="10">
        <f t="shared" si="1"/>
        <v>-2.9030399999999998</v>
      </c>
    </row>
    <row r="38" spans="4:5" x14ac:dyDescent="0.25">
      <c r="D38" s="11">
        <v>0.78926235984161786</v>
      </c>
      <c r="E38" s="12">
        <f t="shared" si="1"/>
        <v>-6.9193780323573151E-4</v>
      </c>
    </row>
    <row r="39" spans="4:5" x14ac:dyDescent="0.25">
      <c r="D39" s="4">
        <v>0.8</v>
      </c>
      <c r="E39" s="13">
        <f t="shared" si="1"/>
        <v>0.22688000000000219</v>
      </c>
    </row>
    <row r="40" spans="4:5" x14ac:dyDescent="0.25">
      <c r="D40" s="4">
        <v>0.9</v>
      </c>
      <c r="E40" s="10">
        <f t="shared" si="1"/>
        <v>2.7276900000000017</v>
      </c>
    </row>
    <row r="41" spans="4:5" x14ac:dyDescent="0.25">
      <c r="D41" s="4">
        <v>1</v>
      </c>
      <c r="E41" s="10">
        <f t="shared" si="1"/>
        <v>6</v>
      </c>
    </row>
  </sheetData>
  <mergeCells count="7">
    <mergeCell ref="G7:H7"/>
    <mergeCell ref="G8:H8"/>
    <mergeCell ref="A1:D1"/>
    <mergeCell ref="A3:E3"/>
    <mergeCell ref="A4:B4"/>
    <mergeCell ref="D4:E4"/>
    <mergeCell ref="G6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Обратная матрица</vt:lpstr>
      <vt:lpstr>Системы линейных уравнений</vt:lpstr>
      <vt:lpstr>Уравнения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Некляев</dc:creator>
  <cp:lastModifiedBy>Савкин Никита</cp:lastModifiedBy>
  <dcterms:created xsi:type="dcterms:W3CDTF">2015-06-05T18:19:34Z</dcterms:created>
  <dcterms:modified xsi:type="dcterms:W3CDTF">2025-12-16T18:57:56Z</dcterms:modified>
</cp:coreProperties>
</file>